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-120" yWindow="-120" windowWidth="21840" windowHeight="13140"/>
  </bookViews>
  <sheets>
    <sheet name="RAINFALL" sheetId="1" r:id="rId1"/>
    <sheet name="MINIMUM TEM" sheetId="2" r:id="rId2"/>
    <sheet name="MAXIMUM TEM" sheetId="3" r:id="rId3"/>
    <sheet name="Summary" sheetId="5" r:id="rId4"/>
    <sheet name="Summary Rain fall" sheetId="4" r:id="rId5"/>
    <sheet name="Summary Min tem" sheetId="6" r:id="rId6"/>
    <sheet name="Summary Max tem" sheetId="7" r:id="rId7"/>
    <sheet name="Summary Min &amp; Max Def " sheetId="8" r:id="rId8"/>
    <sheet name="RAINFALL (4)" sheetId="11" r:id="rId9"/>
    <sheet name="RAINFALL (5)" sheetId="12" r:id="rId10"/>
  </sheets>
  <definedNames>
    <definedName name="_xlnm._FilterDatabase" localSheetId="8" hidden="1">'RAINFALL (4)'!$A$2:$I$54</definedName>
    <definedName name="_xlnm._FilterDatabase" localSheetId="9" hidden="1">'RAINFALL (5)'!$A$2:$I$55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9" i="5" l="1"/>
  <c r="E190" i="5"/>
  <c r="E191" i="5"/>
  <c r="E192" i="5"/>
  <c r="E193" i="5"/>
  <c r="E194" i="5"/>
  <c r="E195" i="5"/>
  <c r="E196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58" i="5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61" i="3"/>
  <c r="I162" i="3"/>
  <c r="I163" i="3"/>
  <c r="I164" i="3"/>
  <c r="I165" i="3"/>
  <c r="I166" i="3"/>
  <c r="I167" i="3"/>
  <c r="I168" i="3"/>
  <c r="I169" i="3"/>
  <c r="I160" i="3"/>
  <c r="I159" i="3"/>
  <c r="I194" i="2"/>
  <c r="I195" i="2"/>
  <c r="I196" i="2"/>
  <c r="I197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65" i="2"/>
  <c r="I166" i="2"/>
  <c r="I167" i="2"/>
  <c r="I168" i="2"/>
  <c r="I169" i="2"/>
  <c r="I170" i="2"/>
  <c r="I171" i="2"/>
  <c r="I172" i="2"/>
  <c r="I173" i="2"/>
  <c r="I174" i="2"/>
  <c r="I164" i="2"/>
  <c r="I163" i="2"/>
  <c r="I162" i="2"/>
  <c r="I161" i="2"/>
  <c r="I159" i="2"/>
  <c r="I190" i="1"/>
  <c r="I197" i="1"/>
  <c r="C60" i="4" l="1"/>
  <c r="D60" i="4"/>
  <c r="E60" i="4"/>
  <c r="B60" i="4"/>
  <c r="C59" i="4"/>
  <c r="D59" i="4"/>
  <c r="E59" i="4"/>
  <c r="B59" i="4"/>
  <c r="C58" i="4"/>
  <c r="D58" i="4"/>
  <c r="E58" i="4"/>
  <c r="B58" i="4"/>
  <c r="C57" i="4"/>
  <c r="D57" i="4"/>
  <c r="E57" i="4"/>
  <c r="B57" i="4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3" i="3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3" i="2"/>
  <c r="D3" i="5" l="1"/>
  <c r="E3" i="5" s="1"/>
  <c r="D4" i="5"/>
  <c r="E4" i="5" s="1"/>
  <c r="D5" i="5"/>
  <c r="E5" i="5" s="1"/>
  <c r="D6" i="5"/>
  <c r="E6" i="5" s="1"/>
  <c r="D7" i="5"/>
  <c r="E7" i="5" s="1"/>
  <c r="D8" i="5"/>
  <c r="E8" i="5" s="1"/>
  <c r="D9" i="5"/>
  <c r="E9" i="5" s="1"/>
  <c r="D10" i="5"/>
  <c r="E10" i="5" s="1"/>
  <c r="D11" i="5"/>
  <c r="E11" i="5" s="1"/>
  <c r="D12" i="5"/>
  <c r="E12" i="5" s="1"/>
  <c r="D13" i="5"/>
  <c r="E13" i="5" s="1"/>
  <c r="D14" i="5"/>
  <c r="E14" i="5" s="1"/>
  <c r="D15" i="5"/>
  <c r="E15" i="5" s="1"/>
  <c r="D16" i="5"/>
  <c r="E16" i="5" s="1"/>
  <c r="D17" i="5"/>
  <c r="E17" i="5" s="1"/>
  <c r="D18" i="5"/>
  <c r="E18" i="5" s="1"/>
  <c r="D19" i="5"/>
  <c r="E19" i="5" s="1"/>
  <c r="D20" i="5"/>
  <c r="E20" i="5" s="1"/>
  <c r="D21" i="5"/>
  <c r="E21" i="5" s="1"/>
  <c r="D22" i="5"/>
  <c r="E22" i="5" s="1"/>
  <c r="D23" i="5"/>
  <c r="E23" i="5" s="1"/>
  <c r="D24" i="5"/>
  <c r="E24" i="5" s="1"/>
  <c r="D25" i="5"/>
  <c r="E25" i="5" s="1"/>
  <c r="D26" i="5"/>
  <c r="E26" i="5" s="1"/>
  <c r="D27" i="5"/>
  <c r="E27" i="5" s="1"/>
  <c r="D28" i="5"/>
  <c r="E28" i="5" s="1"/>
  <c r="D29" i="5"/>
  <c r="E29" i="5" s="1"/>
  <c r="D30" i="5"/>
  <c r="E30" i="5" s="1"/>
  <c r="D31" i="5"/>
  <c r="E31" i="5" s="1"/>
  <c r="D32" i="5"/>
  <c r="E32" i="5" s="1"/>
  <c r="D33" i="5"/>
  <c r="E33" i="5" s="1"/>
  <c r="D34" i="5"/>
  <c r="E34" i="5" s="1"/>
  <c r="D35" i="5"/>
  <c r="E35" i="5" s="1"/>
  <c r="D36" i="5"/>
  <c r="E36" i="5" s="1"/>
  <c r="D37" i="5"/>
  <c r="E37" i="5" s="1"/>
  <c r="D38" i="5"/>
  <c r="E38" i="5" s="1"/>
  <c r="D39" i="5"/>
  <c r="E39" i="5" s="1"/>
  <c r="D40" i="5"/>
  <c r="E40" i="5" s="1"/>
  <c r="D41" i="5"/>
  <c r="E41" i="5" s="1"/>
  <c r="D42" i="5"/>
  <c r="E42" i="5" s="1"/>
  <c r="D43" i="5"/>
  <c r="E43" i="5" s="1"/>
  <c r="D44" i="5"/>
  <c r="E44" i="5" s="1"/>
  <c r="D45" i="5"/>
  <c r="E45" i="5" s="1"/>
  <c r="D46" i="5"/>
  <c r="E46" i="5" s="1"/>
  <c r="D47" i="5"/>
  <c r="E47" i="5" s="1"/>
  <c r="D48" i="5"/>
  <c r="E48" i="5" s="1"/>
  <c r="D49" i="5"/>
  <c r="E49" i="5" s="1"/>
  <c r="D50" i="5"/>
  <c r="E50" i="5" s="1"/>
  <c r="D51" i="5"/>
  <c r="E51" i="5" s="1"/>
  <c r="D52" i="5"/>
  <c r="E52" i="5" s="1"/>
  <c r="D53" i="5"/>
  <c r="E53" i="5" s="1"/>
  <c r="D54" i="5"/>
  <c r="E54" i="5" s="1"/>
  <c r="D55" i="5"/>
  <c r="E55" i="5" s="1"/>
  <c r="D56" i="5"/>
  <c r="E56" i="5" s="1"/>
  <c r="D57" i="5"/>
  <c r="E57" i="5" s="1"/>
  <c r="D58" i="5"/>
  <c r="E58" i="5" s="1"/>
  <c r="D59" i="5"/>
  <c r="E59" i="5" s="1"/>
  <c r="D60" i="5"/>
  <c r="E60" i="5" s="1"/>
  <c r="D61" i="5"/>
  <c r="E61" i="5" s="1"/>
  <c r="D62" i="5"/>
  <c r="E62" i="5" s="1"/>
  <c r="D63" i="5"/>
  <c r="E63" i="5" s="1"/>
  <c r="D64" i="5"/>
  <c r="E64" i="5" s="1"/>
  <c r="D65" i="5"/>
  <c r="E65" i="5" s="1"/>
  <c r="D66" i="5"/>
  <c r="E66" i="5" s="1"/>
  <c r="D67" i="5"/>
  <c r="E67" i="5" s="1"/>
  <c r="D68" i="5"/>
  <c r="E68" i="5" s="1"/>
  <c r="D69" i="5"/>
  <c r="E69" i="5" s="1"/>
  <c r="D70" i="5"/>
  <c r="E70" i="5" s="1"/>
  <c r="D71" i="5"/>
  <c r="E71" i="5" s="1"/>
  <c r="D72" i="5"/>
  <c r="E72" i="5" s="1"/>
  <c r="D73" i="5"/>
  <c r="E73" i="5" s="1"/>
  <c r="D74" i="5"/>
  <c r="E74" i="5" s="1"/>
  <c r="D75" i="5"/>
  <c r="E75" i="5" s="1"/>
  <c r="D76" i="5"/>
  <c r="E76" i="5" s="1"/>
  <c r="D77" i="5"/>
  <c r="E77" i="5" s="1"/>
  <c r="D78" i="5"/>
  <c r="E78" i="5" s="1"/>
  <c r="D79" i="5"/>
  <c r="E79" i="5" s="1"/>
  <c r="D80" i="5"/>
  <c r="E80" i="5" s="1"/>
  <c r="D81" i="5"/>
  <c r="E81" i="5" s="1"/>
  <c r="D82" i="5"/>
  <c r="E82" i="5" s="1"/>
  <c r="D83" i="5"/>
  <c r="E83" i="5" s="1"/>
  <c r="D84" i="5"/>
  <c r="E84" i="5" s="1"/>
  <c r="D85" i="5"/>
  <c r="E85" i="5" s="1"/>
  <c r="D86" i="5"/>
  <c r="E86" i="5" s="1"/>
  <c r="D87" i="5"/>
  <c r="E87" i="5" s="1"/>
  <c r="D88" i="5"/>
  <c r="E88" i="5" s="1"/>
  <c r="D89" i="5"/>
  <c r="E89" i="5" s="1"/>
  <c r="D90" i="5"/>
  <c r="E90" i="5" s="1"/>
  <c r="D91" i="5"/>
  <c r="E91" i="5" s="1"/>
  <c r="D92" i="5"/>
  <c r="E92" i="5" s="1"/>
  <c r="D93" i="5"/>
  <c r="E93" i="5" s="1"/>
  <c r="D94" i="5"/>
  <c r="E94" i="5" s="1"/>
  <c r="D95" i="5"/>
  <c r="E95" i="5" s="1"/>
  <c r="D96" i="5"/>
  <c r="E96" i="5" s="1"/>
  <c r="D97" i="5"/>
  <c r="E97" i="5" s="1"/>
  <c r="D98" i="5"/>
  <c r="E98" i="5" s="1"/>
  <c r="D99" i="5"/>
  <c r="E99" i="5" s="1"/>
  <c r="D100" i="5"/>
  <c r="E100" i="5" s="1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E134" i="5" s="1"/>
  <c r="D135" i="5"/>
  <c r="E135" i="5" s="1"/>
  <c r="D136" i="5"/>
  <c r="E136" i="5" s="1"/>
  <c r="D137" i="5"/>
  <c r="E137" i="5" s="1"/>
  <c r="D138" i="5"/>
  <c r="E138" i="5" s="1"/>
  <c r="D139" i="5"/>
  <c r="E139" i="5" s="1"/>
  <c r="D140" i="5"/>
  <c r="E140" i="5" s="1"/>
  <c r="D141" i="5"/>
  <c r="E141" i="5" s="1"/>
  <c r="D142" i="5"/>
  <c r="E142" i="5" s="1"/>
  <c r="D143" i="5"/>
  <c r="E143" i="5" s="1"/>
  <c r="D144" i="5"/>
  <c r="E144" i="5" s="1"/>
  <c r="D145" i="5"/>
  <c r="E145" i="5" s="1"/>
  <c r="D146" i="5"/>
  <c r="E146" i="5" s="1"/>
  <c r="D147" i="5"/>
  <c r="E147" i="5" s="1"/>
  <c r="D148" i="5"/>
  <c r="E148" i="5" s="1"/>
  <c r="D149" i="5"/>
  <c r="E149" i="5" s="1"/>
  <c r="D150" i="5"/>
  <c r="D151" i="5"/>
  <c r="D152" i="5"/>
  <c r="D153" i="5"/>
  <c r="D154" i="5"/>
  <c r="D155" i="5"/>
  <c r="D156" i="5"/>
  <c r="D157" i="5"/>
  <c r="D2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2" i="5"/>
  <c r="E101" i="5" l="1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50" i="5"/>
  <c r="E151" i="5"/>
  <c r="E152" i="5"/>
  <c r="E153" i="5"/>
  <c r="E154" i="5"/>
  <c r="E155" i="5"/>
  <c r="E156" i="5"/>
  <c r="E157" i="5"/>
  <c r="E2" i="5"/>
</calcChain>
</file>

<file path=xl/sharedStrings.xml><?xml version="1.0" encoding="utf-8"?>
<sst xmlns="http://schemas.openxmlformats.org/spreadsheetml/2006/main" count="97" uniqueCount="28">
  <si>
    <t>YEAR</t>
  </si>
  <si>
    <t>WEEK</t>
  </si>
  <si>
    <t>MONDAY</t>
  </si>
  <si>
    <t>TUESDAY</t>
  </si>
  <si>
    <t>WEDNESDAY</t>
  </si>
  <si>
    <t>THURSDAY</t>
  </si>
  <si>
    <t xml:space="preserve">FRIDAY  </t>
  </si>
  <si>
    <t>SATURDAY</t>
  </si>
  <si>
    <t>Weekly Rain Fall</t>
  </si>
  <si>
    <t>Week Number</t>
  </si>
  <si>
    <t>Avg Weekly Min Temperature</t>
  </si>
  <si>
    <t>Avg Weekly Max Temperature</t>
  </si>
  <si>
    <t>Min and Max Temperature Difference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</si>
  <si>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</si>
  <si>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</si>
  <si>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</si>
  <si>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</si>
  <si>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</si>
  <si>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</si>
  <si>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</si>
  <si>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</si>
  <si>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</si>
  <si>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</si>
  <si>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</si>
  <si>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</si>
  <si>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</si>
  <si>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H/d</t>
  </si>
  <si>
    <t>P/d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</si>
</sst>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3" xfId="0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0" fillId="0" borderId="5" xfId="0" applyBorder="1"/>
    <xf numFmtId="0" fontId="1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Border="1"/>
    <xf numFmtId="0" fontId="1" fillId="0" borderId="5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Rainfall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Rain fall'!$B$2</c:f>
              <c:strCache>
                <c:ptCount val="1"/>
                <c:pt idx="0">
                  <c:v>2023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'Summary Rain fall'!$A$3:$A$54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'Summary Rain fall'!$B$3:$B$54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18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13</c:v>
                </c:pt>
                <c:pt idx="10">
                  <c:v>68</c:v>
                </c:pt>
                <c:pt idx="11">
                  <c:v>129</c:v>
                </c:pt>
                <c:pt idx="12">
                  <c:v>45</c:v>
                </c:pt>
                <c:pt idx="13">
                  <c:v>3</c:v>
                </c:pt>
                <c:pt idx="14">
                  <c:v>86</c:v>
                </c:pt>
                <c:pt idx="15">
                  <c:v>58</c:v>
                </c:pt>
                <c:pt idx="16">
                  <c:v>37</c:v>
                </c:pt>
                <c:pt idx="17">
                  <c:v>0</c:v>
                </c:pt>
                <c:pt idx="18">
                  <c:v>133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7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64.5</c:v>
                </c:pt>
                <c:pt idx="27">
                  <c:v>6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62</c:v>
                </c:pt>
                <c:pt idx="35">
                  <c:v>126</c:v>
                </c:pt>
                <c:pt idx="36">
                  <c:v>72</c:v>
                </c:pt>
                <c:pt idx="37">
                  <c:v>24</c:v>
                </c:pt>
                <c:pt idx="38">
                  <c:v>112</c:v>
                </c:pt>
                <c:pt idx="39">
                  <c:v>61.5</c:v>
                </c:pt>
                <c:pt idx="40">
                  <c:v>65.849999999999994</c:v>
                </c:pt>
                <c:pt idx="41">
                  <c:v>164</c:v>
                </c:pt>
                <c:pt idx="42">
                  <c:v>108</c:v>
                </c:pt>
                <c:pt idx="43">
                  <c:v>164.5</c:v>
                </c:pt>
                <c:pt idx="44">
                  <c:v>109</c:v>
                </c:pt>
                <c:pt idx="45">
                  <c:v>97.5</c:v>
                </c:pt>
                <c:pt idx="46">
                  <c:v>255.5</c:v>
                </c:pt>
                <c:pt idx="47">
                  <c:v>44</c:v>
                </c:pt>
                <c:pt idx="48">
                  <c:v>54</c:v>
                </c:pt>
                <c:pt idx="49">
                  <c:v>59</c:v>
                </c:pt>
                <c:pt idx="50">
                  <c:v>26</c:v>
                </c:pt>
                <c:pt idx="51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A87-43F7-A758-969CD9751220}"/>
            </c:ext>
          </c:extLst>
        </c:ser>
        <c:ser>
          <c:idx val="1"/>
          <c:order val="1"/>
          <c:tx>
            <c:strRef>
              <c:f>'Summary Rain fall'!$C$2</c:f>
              <c:strCache>
                <c:ptCount val="1"/>
                <c:pt idx="0">
                  <c:v>2024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numRef>
              <c:f>'Summary Rain fall'!$A$3:$A$54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'Summary Rain fall'!$C$3:$C$54</c:f>
              <c:numCache>
                <c:formatCode>General</c:formatCode>
                <c:ptCount val="52"/>
                <c:pt idx="0">
                  <c:v>68</c:v>
                </c:pt>
                <c:pt idx="1">
                  <c:v>31.5</c:v>
                </c:pt>
                <c:pt idx="2">
                  <c:v>0</c:v>
                </c:pt>
                <c:pt idx="3">
                  <c:v>0</c:v>
                </c:pt>
                <c:pt idx="4">
                  <c:v>17.5</c:v>
                </c:pt>
                <c:pt idx="5">
                  <c:v>0</c:v>
                </c:pt>
                <c:pt idx="6">
                  <c:v>0</c:v>
                </c:pt>
                <c:pt idx="7">
                  <c:v>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</c:v>
                </c:pt>
                <c:pt idx="12">
                  <c:v>0</c:v>
                </c:pt>
                <c:pt idx="13">
                  <c:v>7</c:v>
                </c:pt>
                <c:pt idx="14">
                  <c:v>37</c:v>
                </c:pt>
                <c:pt idx="15">
                  <c:v>93</c:v>
                </c:pt>
                <c:pt idx="16">
                  <c:v>38</c:v>
                </c:pt>
                <c:pt idx="17">
                  <c:v>0</c:v>
                </c:pt>
                <c:pt idx="18">
                  <c:v>76.5</c:v>
                </c:pt>
                <c:pt idx="19">
                  <c:v>215.5</c:v>
                </c:pt>
                <c:pt idx="20">
                  <c:v>57</c:v>
                </c:pt>
                <c:pt idx="21">
                  <c:v>358</c:v>
                </c:pt>
                <c:pt idx="22">
                  <c:v>32.5</c:v>
                </c:pt>
                <c:pt idx="23">
                  <c:v>38</c:v>
                </c:pt>
                <c:pt idx="24">
                  <c:v>38</c:v>
                </c:pt>
                <c:pt idx="25">
                  <c:v>35</c:v>
                </c:pt>
                <c:pt idx="26">
                  <c:v>22.5</c:v>
                </c:pt>
                <c:pt idx="27">
                  <c:v>56.5</c:v>
                </c:pt>
                <c:pt idx="28">
                  <c:v>14</c:v>
                </c:pt>
                <c:pt idx="29">
                  <c:v>14</c:v>
                </c:pt>
                <c:pt idx="30">
                  <c:v>50</c:v>
                </c:pt>
                <c:pt idx="31">
                  <c:v>0</c:v>
                </c:pt>
                <c:pt idx="32">
                  <c:v>31</c:v>
                </c:pt>
                <c:pt idx="33">
                  <c:v>61</c:v>
                </c:pt>
                <c:pt idx="34">
                  <c:v>8.5</c:v>
                </c:pt>
                <c:pt idx="35">
                  <c:v>57.5</c:v>
                </c:pt>
                <c:pt idx="36">
                  <c:v>23.5</c:v>
                </c:pt>
                <c:pt idx="37">
                  <c:v>8</c:v>
                </c:pt>
                <c:pt idx="38">
                  <c:v>7</c:v>
                </c:pt>
                <c:pt idx="39">
                  <c:v>41</c:v>
                </c:pt>
                <c:pt idx="40">
                  <c:v>101</c:v>
                </c:pt>
                <c:pt idx="41">
                  <c:v>86</c:v>
                </c:pt>
                <c:pt idx="42">
                  <c:v>14.5</c:v>
                </c:pt>
                <c:pt idx="43">
                  <c:v>60.5</c:v>
                </c:pt>
                <c:pt idx="44">
                  <c:v>181</c:v>
                </c:pt>
                <c:pt idx="45">
                  <c:v>57</c:v>
                </c:pt>
                <c:pt idx="46">
                  <c:v>134.5</c:v>
                </c:pt>
                <c:pt idx="47">
                  <c:v>230</c:v>
                </c:pt>
                <c:pt idx="48">
                  <c:v>0.5</c:v>
                </c:pt>
                <c:pt idx="49">
                  <c:v>32.5</c:v>
                </c:pt>
                <c:pt idx="50">
                  <c:v>121</c:v>
                </c:pt>
                <c:pt idx="51">
                  <c:v>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A87-43F7-A758-969CD9751220}"/>
            </c:ext>
          </c:extLst>
        </c:ser>
        <c:ser>
          <c:idx val="2"/>
          <c:order val="2"/>
          <c:tx>
            <c:strRef>
              <c:f>'Summary Rain fall'!$D$2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numRef>
              <c:f>'Summary Rain fall'!$A$3:$A$54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'Summary Rain fall'!$D$3:$D$54</c:f>
              <c:numCache>
                <c:formatCode>General</c:formatCode>
                <c:ptCount val="52"/>
                <c:pt idx="0">
                  <c:v>54</c:v>
                </c:pt>
                <c:pt idx="1">
                  <c:v>0</c:v>
                </c:pt>
                <c:pt idx="2">
                  <c:v>74</c:v>
                </c:pt>
                <c:pt idx="3">
                  <c:v>90.5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72</c:v>
                </c:pt>
                <c:pt idx="10">
                  <c:v>0</c:v>
                </c:pt>
                <c:pt idx="11">
                  <c:v>36.5</c:v>
                </c:pt>
                <c:pt idx="12">
                  <c:v>27.5</c:v>
                </c:pt>
                <c:pt idx="13">
                  <c:v>27</c:v>
                </c:pt>
                <c:pt idx="14">
                  <c:v>75</c:v>
                </c:pt>
                <c:pt idx="15">
                  <c:v>0</c:v>
                </c:pt>
                <c:pt idx="16">
                  <c:v>3</c:v>
                </c:pt>
                <c:pt idx="17">
                  <c:v>105</c:v>
                </c:pt>
                <c:pt idx="18">
                  <c:v>8</c:v>
                </c:pt>
                <c:pt idx="19">
                  <c:v>0</c:v>
                </c:pt>
                <c:pt idx="20">
                  <c:v>131</c:v>
                </c:pt>
                <c:pt idx="21">
                  <c:v>78</c:v>
                </c:pt>
                <c:pt idx="22">
                  <c:v>22</c:v>
                </c:pt>
                <c:pt idx="23">
                  <c:v>56</c:v>
                </c:pt>
                <c:pt idx="24">
                  <c:v>75</c:v>
                </c:pt>
                <c:pt idx="25">
                  <c:v>34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58</c:v>
                </c:pt>
                <c:pt idx="30">
                  <c:v>0</c:v>
                </c:pt>
                <c:pt idx="31">
                  <c:v>43</c:v>
                </c:pt>
                <c:pt idx="32">
                  <c:v>13</c:v>
                </c:pt>
                <c:pt idx="33">
                  <c:v>0</c:v>
                </c:pt>
                <c:pt idx="34">
                  <c:v>3</c:v>
                </c:pt>
                <c:pt idx="35">
                  <c:v>0</c:v>
                </c:pt>
                <c:pt idx="36">
                  <c:v>60</c:v>
                </c:pt>
                <c:pt idx="37">
                  <c:v>27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389</c:v>
                </c:pt>
                <c:pt idx="42">
                  <c:v>247</c:v>
                </c:pt>
                <c:pt idx="43">
                  <c:v>3</c:v>
                </c:pt>
                <c:pt idx="44">
                  <c:v>31</c:v>
                </c:pt>
                <c:pt idx="45">
                  <c:v>36</c:v>
                </c:pt>
                <c:pt idx="46">
                  <c:v>112</c:v>
                </c:pt>
                <c:pt idx="47">
                  <c:v>530</c:v>
                </c:pt>
                <c:pt idx="48">
                  <c:v>0</c:v>
                </c:pt>
                <c:pt idx="49">
                  <c:v>15</c:v>
                </c:pt>
                <c:pt idx="50">
                  <c:v>20</c:v>
                </c:pt>
                <c:pt idx="5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A87-43F7-A758-969CD9751220}"/>
            </c:ext>
          </c:extLst>
        </c:ser>
        <c:ser>
          <c:idx val="3"/>
          <c:order val="3"/>
          <c:tx>
            <c:strRef>
              <c:f>'Summary Rain fall'!$E$2</c:f>
              <c:strCache>
                <c:ptCount val="1"/>
                <c:pt idx="0">
                  <c:v>2026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numRef>
              <c:f>'Summary Rain fall'!$A$3:$A$54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'Summary Rain fall'!$E$3:$E$54</c:f>
              <c:numCache>
                <c:formatCode>General</c:formatCode>
                <c:ptCount val="52"/>
                <c:pt idx="0">
                  <c:v>10</c:v>
                </c:pt>
                <c:pt idx="1">
                  <c:v>23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48</c:v>
                </c:pt>
                <c:pt idx="11">
                  <c:v>42</c:v>
                </c:pt>
                <c:pt idx="12">
                  <c:v>0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64</c:v>
                </c:pt>
                <c:pt idx="17">
                  <c:v>115</c:v>
                </c:pt>
                <c:pt idx="18">
                  <c:v>104</c:v>
                </c:pt>
                <c:pt idx="19">
                  <c:v>90</c:v>
                </c:pt>
                <c:pt idx="20">
                  <c:v>37</c:v>
                </c:pt>
                <c:pt idx="21">
                  <c:v>20</c:v>
                </c:pt>
                <c:pt idx="22">
                  <c:v>48</c:v>
                </c:pt>
                <c:pt idx="23">
                  <c:v>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FD4-42CB-86AE-3B061D565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-1623523328"/>
        <c:axId val="-1623522784"/>
      </c:barChart>
      <c:catAx>
        <c:axId val="-162352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23522784"/>
        <c:crosses val="autoZero"/>
        <c:auto val="1"/>
        <c:lblAlgn val="ctr"/>
        <c:lblOffset val="100"/>
        <c:noMultiLvlLbl val="0"/>
      </c:catAx>
      <c:valAx>
        <c:axId val="-162352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2352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Weekly Min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Min tem'!$B$2</c:f>
              <c:strCache>
                <c:ptCount val="1"/>
                <c:pt idx="0">
                  <c:v>2023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'Summary Min tem'!$A$3:$A$54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'Summary Min tem'!$B$3:$B$54</c:f>
              <c:numCache>
                <c:formatCode>0</c:formatCode>
                <c:ptCount val="52"/>
                <c:pt idx="0">
                  <c:v>30.6</c:v>
                </c:pt>
                <c:pt idx="1">
                  <c:v>31</c:v>
                </c:pt>
                <c:pt idx="2">
                  <c:v>28</c:v>
                </c:pt>
                <c:pt idx="3">
                  <c:v>30.5</c:v>
                </c:pt>
                <c:pt idx="4">
                  <c:v>25.2</c:v>
                </c:pt>
                <c:pt idx="5">
                  <c:v>25.5</c:v>
                </c:pt>
                <c:pt idx="6">
                  <c:v>19</c:v>
                </c:pt>
                <c:pt idx="7">
                  <c:v>21.6</c:v>
                </c:pt>
                <c:pt idx="8">
                  <c:v>27.4</c:v>
                </c:pt>
                <c:pt idx="9">
                  <c:v>20.8</c:v>
                </c:pt>
                <c:pt idx="10">
                  <c:v>21.666666666666668</c:v>
                </c:pt>
                <c:pt idx="11">
                  <c:v>21.666666666666668</c:v>
                </c:pt>
                <c:pt idx="12">
                  <c:v>22.4</c:v>
                </c:pt>
                <c:pt idx="13">
                  <c:v>22.2</c:v>
                </c:pt>
                <c:pt idx="14">
                  <c:v>22</c:v>
                </c:pt>
                <c:pt idx="15">
                  <c:v>23</c:v>
                </c:pt>
                <c:pt idx="16">
                  <c:v>27.666666666666668</c:v>
                </c:pt>
                <c:pt idx="17">
                  <c:v>27.75</c:v>
                </c:pt>
                <c:pt idx="18">
                  <c:v>26.6</c:v>
                </c:pt>
                <c:pt idx="19">
                  <c:v>23</c:v>
                </c:pt>
                <c:pt idx="20">
                  <c:v>26.5</c:v>
                </c:pt>
                <c:pt idx="21">
                  <c:v>26.5</c:v>
                </c:pt>
                <c:pt idx="22">
                  <c:v>24.666666666666668</c:v>
                </c:pt>
                <c:pt idx="23">
                  <c:v>25.833333333333332</c:v>
                </c:pt>
                <c:pt idx="24">
                  <c:v>26</c:v>
                </c:pt>
                <c:pt idx="25">
                  <c:v>26.8</c:v>
                </c:pt>
                <c:pt idx="26">
                  <c:v>27.6</c:v>
                </c:pt>
                <c:pt idx="27">
                  <c:v>28.166666666666668</c:v>
                </c:pt>
                <c:pt idx="28">
                  <c:v>28.833333333333332</c:v>
                </c:pt>
                <c:pt idx="29">
                  <c:v>27.8</c:v>
                </c:pt>
                <c:pt idx="30">
                  <c:v>27.2</c:v>
                </c:pt>
                <c:pt idx="31">
                  <c:v>28</c:v>
                </c:pt>
                <c:pt idx="32">
                  <c:v>27.6</c:v>
                </c:pt>
                <c:pt idx="33">
                  <c:v>28.166666666666668</c:v>
                </c:pt>
                <c:pt idx="34">
                  <c:v>25.4</c:v>
                </c:pt>
                <c:pt idx="35">
                  <c:v>23.833333333333332</c:v>
                </c:pt>
                <c:pt idx="36">
                  <c:v>20.8</c:v>
                </c:pt>
                <c:pt idx="37">
                  <c:v>32.166666666666664</c:v>
                </c:pt>
                <c:pt idx="38">
                  <c:v>27</c:v>
                </c:pt>
                <c:pt idx="39">
                  <c:v>32.5</c:v>
                </c:pt>
                <c:pt idx="40">
                  <c:v>28.333333333333332</c:v>
                </c:pt>
                <c:pt idx="41">
                  <c:v>24.666666666666668</c:v>
                </c:pt>
                <c:pt idx="42">
                  <c:v>32.200000000000003</c:v>
                </c:pt>
                <c:pt idx="43">
                  <c:v>22.833333333333332</c:v>
                </c:pt>
                <c:pt idx="44">
                  <c:v>24.666666666666668</c:v>
                </c:pt>
                <c:pt idx="45">
                  <c:v>25</c:v>
                </c:pt>
                <c:pt idx="46">
                  <c:v>23.166666666666668</c:v>
                </c:pt>
                <c:pt idx="47">
                  <c:v>23.166666666666668</c:v>
                </c:pt>
                <c:pt idx="48">
                  <c:v>23.166666666666668</c:v>
                </c:pt>
                <c:pt idx="49">
                  <c:v>24</c:v>
                </c:pt>
                <c:pt idx="50">
                  <c:v>23</c:v>
                </c:pt>
                <c:pt idx="51">
                  <c:v>20.75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CD-4A0F-9188-5F1498414F9F}"/>
            </c:ext>
          </c:extLst>
        </c:ser>
        <c:ser>
          <c:idx val="1"/>
          <c:order val="1"/>
          <c:tx>
            <c:strRef>
              <c:f>'Summary Min tem'!$C$2</c:f>
              <c:strCache>
                <c:ptCount val="1"/>
                <c:pt idx="0">
                  <c:v>2024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numRef>
              <c:f>'Summary Min tem'!$A$3:$A$54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'Summary Min tem'!$C$3:$C$54</c:f>
              <c:numCache>
                <c:formatCode>0</c:formatCode>
                <c:ptCount val="52"/>
                <c:pt idx="0">
                  <c:v>22.5</c:v>
                </c:pt>
                <c:pt idx="1">
                  <c:v>22.833333333333332</c:v>
                </c:pt>
                <c:pt idx="2">
                  <c:v>20.8</c:v>
                </c:pt>
                <c:pt idx="3">
                  <c:v>21.8</c:v>
                </c:pt>
                <c:pt idx="4">
                  <c:v>22</c:v>
                </c:pt>
                <c:pt idx="5">
                  <c:v>22</c:v>
                </c:pt>
                <c:pt idx="6">
                  <c:v>20.833333333333332</c:v>
                </c:pt>
                <c:pt idx="7">
                  <c:v>22.6</c:v>
                </c:pt>
                <c:pt idx="8">
                  <c:v>21.833333333333332</c:v>
                </c:pt>
                <c:pt idx="9">
                  <c:v>20.5</c:v>
                </c:pt>
                <c:pt idx="10">
                  <c:v>27.166666666666668</c:v>
                </c:pt>
                <c:pt idx="11">
                  <c:v>23.333333333333332</c:v>
                </c:pt>
                <c:pt idx="12">
                  <c:v>27.666666666666668</c:v>
                </c:pt>
                <c:pt idx="13">
                  <c:v>26</c:v>
                </c:pt>
                <c:pt idx="14">
                  <c:v>21.833333333333332</c:v>
                </c:pt>
                <c:pt idx="15">
                  <c:v>24</c:v>
                </c:pt>
                <c:pt idx="16">
                  <c:v>27.166666666666668</c:v>
                </c:pt>
                <c:pt idx="17">
                  <c:v>24.8</c:v>
                </c:pt>
                <c:pt idx="18">
                  <c:v>24.666666666666668</c:v>
                </c:pt>
                <c:pt idx="19">
                  <c:v>25.333333333333332</c:v>
                </c:pt>
                <c:pt idx="20">
                  <c:v>24</c:v>
                </c:pt>
                <c:pt idx="21">
                  <c:v>26</c:v>
                </c:pt>
                <c:pt idx="22">
                  <c:v>26.666666666666668</c:v>
                </c:pt>
                <c:pt idx="23">
                  <c:v>27.333333333333332</c:v>
                </c:pt>
                <c:pt idx="24">
                  <c:v>27.6</c:v>
                </c:pt>
                <c:pt idx="25">
                  <c:v>27</c:v>
                </c:pt>
                <c:pt idx="26">
                  <c:v>26.666666666666668</c:v>
                </c:pt>
                <c:pt idx="27">
                  <c:v>25.666666666666668</c:v>
                </c:pt>
                <c:pt idx="28">
                  <c:v>25.833333333333332</c:v>
                </c:pt>
                <c:pt idx="29">
                  <c:v>24</c:v>
                </c:pt>
                <c:pt idx="30">
                  <c:v>27.333333333333332</c:v>
                </c:pt>
                <c:pt idx="31">
                  <c:v>32</c:v>
                </c:pt>
                <c:pt idx="32">
                  <c:v>30.333333333333332</c:v>
                </c:pt>
                <c:pt idx="33">
                  <c:v>29.6</c:v>
                </c:pt>
                <c:pt idx="34">
                  <c:v>32.200000000000003</c:v>
                </c:pt>
                <c:pt idx="35">
                  <c:v>27.833333333333332</c:v>
                </c:pt>
                <c:pt idx="36">
                  <c:v>25.833333333333332</c:v>
                </c:pt>
                <c:pt idx="37">
                  <c:v>28.75</c:v>
                </c:pt>
                <c:pt idx="38">
                  <c:v>30.666666666666668</c:v>
                </c:pt>
                <c:pt idx="39">
                  <c:v>26.333333333333332</c:v>
                </c:pt>
                <c:pt idx="40">
                  <c:v>27.166666666666668</c:v>
                </c:pt>
                <c:pt idx="41">
                  <c:v>26.833333333333332</c:v>
                </c:pt>
                <c:pt idx="42">
                  <c:v>30.2</c:v>
                </c:pt>
                <c:pt idx="43">
                  <c:v>29.166666666666668</c:v>
                </c:pt>
                <c:pt idx="44">
                  <c:v>26.333333333333332</c:v>
                </c:pt>
                <c:pt idx="45">
                  <c:v>27.8</c:v>
                </c:pt>
                <c:pt idx="46">
                  <c:v>28.333333333333332</c:v>
                </c:pt>
                <c:pt idx="47">
                  <c:v>25.333333333333332</c:v>
                </c:pt>
                <c:pt idx="48">
                  <c:v>26.333333333333332</c:v>
                </c:pt>
                <c:pt idx="49">
                  <c:v>27.4</c:v>
                </c:pt>
                <c:pt idx="50">
                  <c:v>25</c:v>
                </c:pt>
                <c:pt idx="51">
                  <c:v>24.8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ECD-4A0F-9188-5F1498414F9F}"/>
            </c:ext>
          </c:extLst>
        </c:ser>
        <c:ser>
          <c:idx val="2"/>
          <c:order val="2"/>
          <c:tx>
            <c:strRef>
              <c:f>'Summary Min tem'!$D$2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numRef>
              <c:f>'Summary Min tem'!$A$3:$A$54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'Summary Min tem'!$D$3:$D$54</c:f>
              <c:numCache>
                <c:formatCode>0</c:formatCode>
                <c:ptCount val="52"/>
                <c:pt idx="0">
                  <c:v>24.833333333333332</c:v>
                </c:pt>
                <c:pt idx="1">
                  <c:v>27.333333333333332</c:v>
                </c:pt>
                <c:pt idx="2">
                  <c:v>26.5</c:v>
                </c:pt>
                <c:pt idx="3">
                  <c:v>26.166666666666668</c:v>
                </c:pt>
                <c:pt idx="4">
                  <c:v>26.333333333333332</c:v>
                </c:pt>
                <c:pt idx="5">
                  <c:v>21.8</c:v>
                </c:pt>
                <c:pt idx="6">
                  <c:v>22.333333333333332</c:v>
                </c:pt>
                <c:pt idx="7">
                  <c:v>20.666666666666668</c:v>
                </c:pt>
                <c:pt idx="8">
                  <c:v>23.833333333333332</c:v>
                </c:pt>
                <c:pt idx="9">
                  <c:v>21.833333333333332</c:v>
                </c:pt>
                <c:pt idx="10">
                  <c:v>26.333333333333332</c:v>
                </c:pt>
                <c:pt idx="11">
                  <c:v>25.5</c:v>
                </c:pt>
                <c:pt idx="12">
                  <c:v>22.833333333333332</c:v>
                </c:pt>
                <c:pt idx="13">
                  <c:v>23.6</c:v>
                </c:pt>
                <c:pt idx="14">
                  <c:v>22.25</c:v>
                </c:pt>
                <c:pt idx="15">
                  <c:v>23.75</c:v>
                </c:pt>
                <c:pt idx="16">
                  <c:v>27.833333333333332</c:v>
                </c:pt>
                <c:pt idx="17">
                  <c:v>25</c:v>
                </c:pt>
                <c:pt idx="18">
                  <c:v>27.166666666666668</c:v>
                </c:pt>
                <c:pt idx="19">
                  <c:v>24.5</c:v>
                </c:pt>
                <c:pt idx="20">
                  <c:v>26</c:v>
                </c:pt>
                <c:pt idx="21">
                  <c:v>25.5</c:v>
                </c:pt>
                <c:pt idx="22">
                  <c:v>24.333333333333332</c:v>
                </c:pt>
                <c:pt idx="23">
                  <c:v>26</c:v>
                </c:pt>
                <c:pt idx="24">
                  <c:v>25</c:v>
                </c:pt>
                <c:pt idx="25">
                  <c:v>26.5</c:v>
                </c:pt>
                <c:pt idx="26">
                  <c:v>26.333333333333332</c:v>
                </c:pt>
                <c:pt idx="27">
                  <c:v>26</c:v>
                </c:pt>
                <c:pt idx="28">
                  <c:v>27.166666666666668</c:v>
                </c:pt>
                <c:pt idx="29">
                  <c:v>27.166666666666668</c:v>
                </c:pt>
                <c:pt idx="30">
                  <c:v>25.5</c:v>
                </c:pt>
                <c:pt idx="31">
                  <c:v>26</c:v>
                </c:pt>
                <c:pt idx="32">
                  <c:v>25.666666666666668</c:v>
                </c:pt>
                <c:pt idx="33">
                  <c:v>27.333333333333332</c:v>
                </c:pt>
                <c:pt idx="34">
                  <c:v>27.833333333333332</c:v>
                </c:pt>
                <c:pt idx="35">
                  <c:v>28.2</c:v>
                </c:pt>
                <c:pt idx="36">
                  <c:v>27.833333333333332</c:v>
                </c:pt>
                <c:pt idx="37">
                  <c:v>26</c:v>
                </c:pt>
                <c:pt idx="38">
                  <c:v>27.333333333333332</c:v>
                </c:pt>
                <c:pt idx="39">
                  <c:v>27.333333333333332</c:v>
                </c:pt>
                <c:pt idx="40">
                  <c:v>28.4</c:v>
                </c:pt>
                <c:pt idx="41">
                  <c:v>28</c:v>
                </c:pt>
                <c:pt idx="42">
                  <c:v>25.5</c:v>
                </c:pt>
                <c:pt idx="43">
                  <c:v>26.6</c:v>
                </c:pt>
                <c:pt idx="44">
                  <c:v>24</c:v>
                </c:pt>
                <c:pt idx="45">
                  <c:v>27.5</c:v>
                </c:pt>
                <c:pt idx="46">
                  <c:v>26</c:v>
                </c:pt>
                <c:pt idx="47">
                  <c:v>21.333333333333332</c:v>
                </c:pt>
                <c:pt idx="48">
                  <c:v>25.5</c:v>
                </c:pt>
                <c:pt idx="49">
                  <c:v>25.4</c:v>
                </c:pt>
                <c:pt idx="50">
                  <c:v>22</c:v>
                </c:pt>
                <c:pt idx="51">
                  <c:v>21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ECD-4A0F-9188-5F1498414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-1513662448"/>
        <c:axId val="-1332150416"/>
      </c:barChart>
      <c:catAx>
        <c:axId val="-151366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2150416"/>
        <c:crosses val="autoZero"/>
        <c:auto val="1"/>
        <c:lblAlgn val="ctr"/>
        <c:lblOffset val="100"/>
        <c:noMultiLvlLbl val="0"/>
      </c:catAx>
      <c:valAx>
        <c:axId val="-1332150416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1366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Weekly Max 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Max tem'!$B$2</c:f>
              <c:strCache>
                <c:ptCount val="1"/>
                <c:pt idx="0">
                  <c:v>2023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'Summary Max tem'!$A$3:$A$54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'Summary Max tem'!$B$3:$B$54</c:f>
              <c:numCache>
                <c:formatCode>0.0</c:formatCode>
                <c:ptCount val="52"/>
                <c:pt idx="0">
                  <c:v>31.8</c:v>
                </c:pt>
                <c:pt idx="1">
                  <c:v>33</c:v>
                </c:pt>
                <c:pt idx="2">
                  <c:v>30.666666666666668</c:v>
                </c:pt>
                <c:pt idx="3">
                  <c:v>32.5</c:v>
                </c:pt>
                <c:pt idx="4">
                  <c:v>30.8</c:v>
                </c:pt>
                <c:pt idx="5">
                  <c:v>34</c:v>
                </c:pt>
                <c:pt idx="6">
                  <c:v>35.5</c:v>
                </c:pt>
                <c:pt idx="7">
                  <c:v>36</c:v>
                </c:pt>
                <c:pt idx="8">
                  <c:v>32.6</c:v>
                </c:pt>
                <c:pt idx="9">
                  <c:v>33.6</c:v>
                </c:pt>
                <c:pt idx="10">
                  <c:v>35.666666666666664</c:v>
                </c:pt>
                <c:pt idx="11">
                  <c:v>35.333333333333336</c:v>
                </c:pt>
                <c:pt idx="12">
                  <c:v>36.4</c:v>
                </c:pt>
                <c:pt idx="13">
                  <c:v>34.799999999999997</c:v>
                </c:pt>
                <c:pt idx="14">
                  <c:v>36.5</c:v>
                </c:pt>
                <c:pt idx="15">
                  <c:v>36.799999999999997</c:v>
                </c:pt>
                <c:pt idx="16">
                  <c:v>35.833333333333336</c:v>
                </c:pt>
                <c:pt idx="17">
                  <c:v>32</c:v>
                </c:pt>
                <c:pt idx="18">
                  <c:v>32.6</c:v>
                </c:pt>
                <c:pt idx="19">
                  <c:v>34.833333333333336</c:v>
                </c:pt>
                <c:pt idx="20">
                  <c:v>33</c:v>
                </c:pt>
                <c:pt idx="21">
                  <c:v>32.25</c:v>
                </c:pt>
                <c:pt idx="22">
                  <c:v>30.333333333333332</c:v>
                </c:pt>
                <c:pt idx="23">
                  <c:v>31.5</c:v>
                </c:pt>
                <c:pt idx="24">
                  <c:v>32.833333333333336</c:v>
                </c:pt>
                <c:pt idx="25">
                  <c:v>31.6</c:v>
                </c:pt>
                <c:pt idx="26">
                  <c:v>33.200000000000003</c:v>
                </c:pt>
                <c:pt idx="27">
                  <c:v>32.333333333333336</c:v>
                </c:pt>
                <c:pt idx="28">
                  <c:v>33.666666666666664</c:v>
                </c:pt>
                <c:pt idx="29">
                  <c:v>32.4</c:v>
                </c:pt>
                <c:pt idx="30">
                  <c:v>35.6</c:v>
                </c:pt>
                <c:pt idx="31">
                  <c:v>35.5</c:v>
                </c:pt>
                <c:pt idx="32">
                  <c:v>34.6</c:v>
                </c:pt>
                <c:pt idx="33">
                  <c:v>35.333333333333336</c:v>
                </c:pt>
                <c:pt idx="34">
                  <c:v>32.4</c:v>
                </c:pt>
                <c:pt idx="35">
                  <c:v>29.833333333333332</c:v>
                </c:pt>
                <c:pt idx="36">
                  <c:v>30.2</c:v>
                </c:pt>
                <c:pt idx="37">
                  <c:v>34.833333333333336</c:v>
                </c:pt>
                <c:pt idx="38">
                  <c:v>32</c:v>
                </c:pt>
                <c:pt idx="39">
                  <c:v>35.833333333333336</c:v>
                </c:pt>
                <c:pt idx="40">
                  <c:v>34.666666666666664</c:v>
                </c:pt>
                <c:pt idx="41">
                  <c:v>33.833333333333336</c:v>
                </c:pt>
                <c:pt idx="42">
                  <c:v>35.6</c:v>
                </c:pt>
                <c:pt idx="43">
                  <c:v>35.166666666666664</c:v>
                </c:pt>
                <c:pt idx="44">
                  <c:v>34</c:v>
                </c:pt>
                <c:pt idx="45">
                  <c:v>34</c:v>
                </c:pt>
                <c:pt idx="46">
                  <c:v>34.833333333333336</c:v>
                </c:pt>
                <c:pt idx="47">
                  <c:v>33.333333333333336</c:v>
                </c:pt>
                <c:pt idx="48">
                  <c:v>32.833333333333336</c:v>
                </c:pt>
                <c:pt idx="49">
                  <c:v>33</c:v>
                </c:pt>
                <c:pt idx="50">
                  <c:v>34.166666666666664</c:v>
                </c:pt>
                <c:pt idx="51">
                  <c:v>34.75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6D-4D9A-AD62-9C35980CF2C8}"/>
            </c:ext>
          </c:extLst>
        </c:ser>
        <c:ser>
          <c:idx val="1"/>
          <c:order val="1"/>
          <c:tx>
            <c:strRef>
              <c:f>'Summary Max tem'!$C$2</c:f>
              <c:strCache>
                <c:ptCount val="1"/>
                <c:pt idx="0">
                  <c:v>2024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numRef>
              <c:f>'Summary Max tem'!$A$3:$A$54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'Summary Max tem'!$C$3:$C$54</c:f>
              <c:numCache>
                <c:formatCode>0.0</c:formatCode>
                <c:ptCount val="52"/>
                <c:pt idx="0">
                  <c:v>33.666666666666664</c:v>
                </c:pt>
                <c:pt idx="1">
                  <c:v>33</c:v>
                </c:pt>
                <c:pt idx="2">
                  <c:v>34.4</c:v>
                </c:pt>
                <c:pt idx="3">
                  <c:v>34.4</c:v>
                </c:pt>
                <c:pt idx="4">
                  <c:v>35.333333333333336</c:v>
                </c:pt>
                <c:pt idx="5">
                  <c:v>35.333333333333336</c:v>
                </c:pt>
                <c:pt idx="6">
                  <c:v>35</c:v>
                </c:pt>
                <c:pt idx="7">
                  <c:v>36.4</c:v>
                </c:pt>
                <c:pt idx="8">
                  <c:v>35.833333333333336</c:v>
                </c:pt>
                <c:pt idx="9">
                  <c:v>36.333333333333336</c:v>
                </c:pt>
                <c:pt idx="10">
                  <c:v>37.333333333333336</c:v>
                </c:pt>
                <c:pt idx="11">
                  <c:v>36.666666666666664</c:v>
                </c:pt>
                <c:pt idx="12">
                  <c:v>35.666666666666664</c:v>
                </c:pt>
                <c:pt idx="13">
                  <c:v>35</c:v>
                </c:pt>
                <c:pt idx="14">
                  <c:v>33.200000000000003</c:v>
                </c:pt>
                <c:pt idx="15">
                  <c:v>35.166666666666664</c:v>
                </c:pt>
                <c:pt idx="16">
                  <c:v>36.666666666666664</c:v>
                </c:pt>
                <c:pt idx="17">
                  <c:v>36.6</c:v>
                </c:pt>
                <c:pt idx="18">
                  <c:v>35.666666666666664</c:v>
                </c:pt>
                <c:pt idx="19">
                  <c:v>35.666666666666664</c:v>
                </c:pt>
                <c:pt idx="20">
                  <c:v>32.5</c:v>
                </c:pt>
                <c:pt idx="21">
                  <c:v>30.666666666666668</c:v>
                </c:pt>
                <c:pt idx="22">
                  <c:v>32.333333333333336</c:v>
                </c:pt>
                <c:pt idx="23">
                  <c:v>33.333333333333336</c:v>
                </c:pt>
                <c:pt idx="24">
                  <c:v>32</c:v>
                </c:pt>
                <c:pt idx="25">
                  <c:v>33.833333333333336</c:v>
                </c:pt>
                <c:pt idx="26">
                  <c:v>33.666666666666664</c:v>
                </c:pt>
                <c:pt idx="27">
                  <c:v>33</c:v>
                </c:pt>
                <c:pt idx="28">
                  <c:v>35.333333333333336</c:v>
                </c:pt>
                <c:pt idx="29">
                  <c:v>35.666666666666664</c:v>
                </c:pt>
                <c:pt idx="30">
                  <c:v>35.166666666666664</c:v>
                </c:pt>
                <c:pt idx="31">
                  <c:v>35.666666666666664</c:v>
                </c:pt>
                <c:pt idx="32">
                  <c:v>34.833333333333336</c:v>
                </c:pt>
                <c:pt idx="33">
                  <c:v>35.799999999999997</c:v>
                </c:pt>
                <c:pt idx="34">
                  <c:v>37</c:v>
                </c:pt>
                <c:pt idx="35">
                  <c:v>33.666666666666664</c:v>
                </c:pt>
                <c:pt idx="36">
                  <c:v>35.333333333333336</c:v>
                </c:pt>
                <c:pt idx="37">
                  <c:v>34.5</c:v>
                </c:pt>
                <c:pt idx="38">
                  <c:v>36</c:v>
                </c:pt>
                <c:pt idx="39">
                  <c:v>32.833333333333336</c:v>
                </c:pt>
                <c:pt idx="40">
                  <c:v>33.166666666666664</c:v>
                </c:pt>
                <c:pt idx="41">
                  <c:v>32.166666666666664</c:v>
                </c:pt>
                <c:pt idx="42">
                  <c:v>35.166666666666664</c:v>
                </c:pt>
                <c:pt idx="43">
                  <c:v>34.5</c:v>
                </c:pt>
                <c:pt idx="44">
                  <c:v>32.333333333333336</c:v>
                </c:pt>
                <c:pt idx="45">
                  <c:v>33.6</c:v>
                </c:pt>
                <c:pt idx="46">
                  <c:v>34.5</c:v>
                </c:pt>
                <c:pt idx="47">
                  <c:v>30.333333333333332</c:v>
                </c:pt>
                <c:pt idx="48">
                  <c:v>36</c:v>
                </c:pt>
                <c:pt idx="49">
                  <c:v>35.4</c:v>
                </c:pt>
                <c:pt idx="50">
                  <c:v>32.333333333333336</c:v>
                </c:pt>
                <c:pt idx="51">
                  <c:v>33.6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6D-4D9A-AD62-9C35980CF2C8}"/>
            </c:ext>
          </c:extLst>
        </c:ser>
        <c:ser>
          <c:idx val="2"/>
          <c:order val="2"/>
          <c:tx>
            <c:strRef>
              <c:f>'Summary Max tem'!$D$2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numRef>
              <c:f>'Summary Max tem'!$A$3:$A$54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'Summary Max tem'!$D$3:$D$54</c:f>
              <c:numCache>
                <c:formatCode>0.0</c:formatCode>
                <c:ptCount val="52"/>
                <c:pt idx="0">
                  <c:v>32</c:v>
                </c:pt>
                <c:pt idx="1">
                  <c:v>32.833333333333336</c:v>
                </c:pt>
                <c:pt idx="2">
                  <c:v>32.25</c:v>
                </c:pt>
                <c:pt idx="3">
                  <c:v>31.5</c:v>
                </c:pt>
                <c:pt idx="4">
                  <c:v>32.833333333333336</c:v>
                </c:pt>
                <c:pt idx="5">
                  <c:v>34.200000000000003</c:v>
                </c:pt>
                <c:pt idx="6">
                  <c:v>34</c:v>
                </c:pt>
                <c:pt idx="7">
                  <c:v>34.833333333333336</c:v>
                </c:pt>
                <c:pt idx="8">
                  <c:v>35.333333333333336</c:v>
                </c:pt>
                <c:pt idx="9">
                  <c:v>35.333333333333336</c:v>
                </c:pt>
                <c:pt idx="10">
                  <c:v>33</c:v>
                </c:pt>
                <c:pt idx="11">
                  <c:v>36.833333333333336</c:v>
                </c:pt>
                <c:pt idx="12">
                  <c:v>35.5</c:v>
                </c:pt>
                <c:pt idx="13">
                  <c:v>34</c:v>
                </c:pt>
                <c:pt idx="14">
                  <c:v>34.25</c:v>
                </c:pt>
                <c:pt idx="15">
                  <c:v>33.5</c:v>
                </c:pt>
                <c:pt idx="16">
                  <c:v>33.666666666666664</c:v>
                </c:pt>
                <c:pt idx="17">
                  <c:v>32.200000000000003</c:v>
                </c:pt>
                <c:pt idx="18">
                  <c:v>34.333333333333336</c:v>
                </c:pt>
                <c:pt idx="19">
                  <c:v>31.833333333333332</c:v>
                </c:pt>
                <c:pt idx="20">
                  <c:v>31.166666666666668</c:v>
                </c:pt>
                <c:pt idx="21">
                  <c:v>31.666666666666668</c:v>
                </c:pt>
                <c:pt idx="22">
                  <c:v>31.666666666666668</c:v>
                </c:pt>
                <c:pt idx="23">
                  <c:v>32</c:v>
                </c:pt>
                <c:pt idx="24">
                  <c:v>31.5</c:v>
                </c:pt>
                <c:pt idx="25">
                  <c:v>32.833333333333336</c:v>
                </c:pt>
                <c:pt idx="26">
                  <c:v>33.333333333333336</c:v>
                </c:pt>
                <c:pt idx="27">
                  <c:v>32.200000000000003</c:v>
                </c:pt>
                <c:pt idx="28">
                  <c:v>34.166666666666664</c:v>
                </c:pt>
                <c:pt idx="29">
                  <c:v>32.5</c:v>
                </c:pt>
                <c:pt idx="30">
                  <c:v>33.166666666666664</c:v>
                </c:pt>
                <c:pt idx="31">
                  <c:v>32.799999999999997</c:v>
                </c:pt>
                <c:pt idx="32">
                  <c:v>31.333333333333332</c:v>
                </c:pt>
                <c:pt idx="33">
                  <c:v>33.166666666666664</c:v>
                </c:pt>
                <c:pt idx="34">
                  <c:v>35.333333333333336</c:v>
                </c:pt>
                <c:pt idx="35">
                  <c:v>32.6</c:v>
                </c:pt>
                <c:pt idx="36">
                  <c:v>32.5</c:v>
                </c:pt>
                <c:pt idx="37">
                  <c:v>31.666666666666668</c:v>
                </c:pt>
                <c:pt idx="38">
                  <c:v>32.833333333333336</c:v>
                </c:pt>
                <c:pt idx="39">
                  <c:v>30.666666666666668</c:v>
                </c:pt>
                <c:pt idx="40">
                  <c:v>35</c:v>
                </c:pt>
                <c:pt idx="41">
                  <c:v>34.666666666666664</c:v>
                </c:pt>
                <c:pt idx="42">
                  <c:v>32.5</c:v>
                </c:pt>
                <c:pt idx="43">
                  <c:v>31.6</c:v>
                </c:pt>
                <c:pt idx="44">
                  <c:v>32.4</c:v>
                </c:pt>
                <c:pt idx="45">
                  <c:v>32.333333333333336</c:v>
                </c:pt>
                <c:pt idx="46">
                  <c:v>32</c:v>
                </c:pt>
                <c:pt idx="47">
                  <c:v>26.666666666666668</c:v>
                </c:pt>
                <c:pt idx="48">
                  <c:v>33.666666666666664</c:v>
                </c:pt>
                <c:pt idx="49">
                  <c:v>34.75</c:v>
                </c:pt>
                <c:pt idx="50">
                  <c:v>32</c:v>
                </c:pt>
                <c:pt idx="51">
                  <c:v>34.25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46D-4D9A-AD62-9C35980CF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-1332141168"/>
        <c:axId val="-1332151504"/>
      </c:barChart>
      <c:catAx>
        <c:axId val="-133214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2151504"/>
        <c:crosses val="autoZero"/>
        <c:auto val="1"/>
        <c:lblAlgn val="ctr"/>
        <c:lblOffset val="100"/>
        <c:noMultiLvlLbl val="0"/>
      </c:catAx>
      <c:valAx>
        <c:axId val="-133215150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214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 and Max Temperature 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Min &amp; Max Def '!$B$2</c:f>
              <c:strCache>
                <c:ptCount val="1"/>
                <c:pt idx="0">
                  <c:v>2023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'Summary Min &amp; Max Def '!$A$3:$A$54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'Summary Min &amp; Max Def '!$B$3:$B$54</c:f>
              <c:numCache>
                <c:formatCode>0.0</c:formatCode>
                <c:ptCount val="52"/>
                <c:pt idx="0">
                  <c:v>1.1999999999999993</c:v>
                </c:pt>
                <c:pt idx="1">
                  <c:v>2</c:v>
                </c:pt>
                <c:pt idx="2">
                  <c:v>2.6666666666666679</c:v>
                </c:pt>
                <c:pt idx="3">
                  <c:v>2</c:v>
                </c:pt>
                <c:pt idx="4">
                  <c:v>5.6000000000000014</c:v>
                </c:pt>
                <c:pt idx="5">
                  <c:v>8.5</c:v>
                </c:pt>
                <c:pt idx="6">
                  <c:v>16.5</c:v>
                </c:pt>
                <c:pt idx="7">
                  <c:v>14.399999999999999</c:v>
                </c:pt>
                <c:pt idx="8">
                  <c:v>5.2000000000000028</c:v>
                </c:pt>
                <c:pt idx="9">
                  <c:v>12.8</c:v>
                </c:pt>
                <c:pt idx="10">
                  <c:v>13.999999999999996</c:v>
                </c:pt>
                <c:pt idx="11">
                  <c:v>13.666666666666668</c:v>
                </c:pt>
                <c:pt idx="12">
                  <c:v>14</c:v>
                </c:pt>
                <c:pt idx="13">
                  <c:v>12.599999999999998</c:v>
                </c:pt>
                <c:pt idx="14">
                  <c:v>14.5</c:v>
                </c:pt>
                <c:pt idx="15">
                  <c:v>13.799999999999997</c:v>
                </c:pt>
                <c:pt idx="16">
                  <c:v>8.1666666666666679</c:v>
                </c:pt>
                <c:pt idx="17">
                  <c:v>4.25</c:v>
                </c:pt>
                <c:pt idx="18">
                  <c:v>6</c:v>
                </c:pt>
                <c:pt idx="19">
                  <c:v>11.833333333333336</c:v>
                </c:pt>
                <c:pt idx="20">
                  <c:v>6.5</c:v>
                </c:pt>
                <c:pt idx="21">
                  <c:v>5.75</c:v>
                </c:pt>
                <c:pt idx="22">
                  <c:v>5.6666666666666643</c:v>
                </c:pt>
                <c:pt idx="23">
                  <c:v>5.6666666666666679</c:v>
                </c:pt>
                <c:pt idx="24">
                  <c:v>6.8333333333333357</c:v>
                </c:pt>
                <c:pt idx="25">
                  <c:v>4.8000000000000007</c:v>
                </c:pt>
                <c:pt idx="26">
                  <c:v>5.6000000000000014</c:v>
                </c:pt>
                <c:pt idx="27">
                  <c:v>4.1666666666666679</c:v>
                </c:pt>
                <c:pt idx="28">
                  <c:v>4.8333333333333321</c:v>
                </c:pt>
                <c:pt idx="29">
                  <c:v>4.5999999999999979</c:v>
                </c:pt>
                <c:pt idx="30">
                  <c:v>8.4000000000000021</c:v>
                </c:pt>
                <c:pt idx="31">
                  <c:v>7.5</c:v>
                </c:pt>
                <c:pt idx="32">
                  <c:v>7</c:v>
                </c:pt>
                <c:pt idx="33">
                  <c:v>7.1666666666666679</c:v>
                </c:pt>
                <c:pt idx="34">
                  <c:v>7</c:v>
                </c:pt>
                <c:pt idx="35">
                  <c:v>6</c:v>
                </c:pt>
                <c:pt idx="36">
                  <c:v>9.3999999999999986</c:v>
                </c:pt>
                <c:pt idx="37">
                  <c:v>2.6666666666666714</c:v>
                </c:pt>
                <c:pt idx="38">
                  <c:v>5</c:v>
                </c:pt>
                <c:pt idx="39">
                  <c:v>3.3333333333333357</c:v>
                </c:pt>
                <c:pt idx="40">
                  <c:v>6.3333333333333321</c:v>
                </c:pt>
                <c:pt idx="41">
                  <c:v>9.1666666666666679</c:v>
                </c:pt>
                <c:pt idx="42">
                  <c:v>3.3999999999999986</c:v>
                </c:pt>
                <c:pt idx="43">
                  <c:v>12.333333333333332</c:v>
                </c:pt>
                <c:pt idx="44">
                  <c:v>9.3333333333333321</c:v>
                </c:pt>
                <c:pt idx="45">
                  <c:v>9</c:v>
                </c:pt>
                <c:pt idx="46">
                  <c:v>11.666666666666668</c:v>
                </c:pt>
                <c:pt idx="47">
                  <c:v>10.166666666666668</c:v>
                </c:pt>
                <c:pt idx="48">
                  <c:v>9.6666666666666679</c:v>
                </c:pt>
                <c:pt idx="49">
                  <c:v>9</c:v>
                </c:pt>
                <c:pt idx="50">
                  <c:v>11.166666666666664</c:v>
                </c:pt>
                <c:pt idx="51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6C1-4EE2-B43A-F0729A393E44}"/>
            </c:ext>
          </c:extLst>
        </c:ser>
        <c:ser>
          <c:idx val="1"/>
          <c:order val="1"/>
          <c:tx>
            <c:strRef>
              <c:f>'Summary Min &amp; Max Def '!$C$2</c:f>
              <c:strCache>
                <c:ptCount val="1"/>
                <c:pt idx="0">
                  <c:v>2024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numRef>
              <c:f>'Summary Min &amp; Max Def '!$A$3:$A$54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'Summary Min &amp; Max Def '!$C$3:$C$54</c:f>
              <c:numCache>
                <c:formatCode>0.0</c:formatCode>
                <c:ptCount val="52"/>
                <c:pt idx="0">
                  <c:v>11.166666666666664</c:v>
                </c:pt>
                <c:pt idx="1">
                  <c:v>10.166666666666668</c:v>
                </c:pt>
                <c:pt idx="2">
                  <c:v>13.599999999999998</c:v>
                </c:pt>
                <c:pt idx="3">
                  <c:v>12.599999999999998</c:v>
                </c:pt>
                <c:pt idx="4">
                  <c:v>13.333333333333336</c:v>
                </c:pt>
                <c:pt idx="5">
                  <c:v>13.333333333333336</c:v>
                </c:pt>
                <c:pt idx="6">
                  <c:v>14.166666666666668</c:v>
                </c:pt>
                <c:pt idx="7">
                  <c:v>13.799999999999997</c:v>
                </c:pt>
                <c:pt idx="8">
                  <c:v>14.000000000000004</c:v>
                </c:pt>
                <c:pt idx="9">
                  <c:v>15.833333333333336</c:v>
                </c:pt>
                <c:pt idx="10">
                  <c:v>10.166666666666668</c:v>
                </c:pt>
                <c:pt idx="11">
                  <c:v>13.333333333333332</c:v>
                </c:pt>
                <c:pt idx="12">
                  <c:v>7.9999999999999964</c:v>
                </c:pt>
                <c:pt idx="13">
                  <c:v>9</c:v>
                </c:pt>
                <c:pt idx="14">
                  <c:v>11.366666666666671</c:v>
                </c:pt>
                <c:pt idx="15">
                  <c:v>11.166666666666664</c:v>
                </c:pt>
                <c:pt idx="16">
                  <c:v>9.4999999999999964</c:v>
                </c:pt>
                <c:pt idx="17">
                  <c:v>11.8</c:v>
                </c:pt>
                <c:pt idx="18">
                  <c:v>10.999999999999996</c:v>
                </c:pt>
                <c:pt idx="19">
                  <c:v>10.333333333333332</c:v>
                </c:pt>
                <c:pt idx="20">
                  <c:v>8.5</c:v>
                </c:pt>
                <c:pt idx="21">
                  <c:v>4.6666666666666679</c:v>
                </c:pt>
                <c:pt idx="22">
                  <c:v>5.6666666666666679</c:v>
                </c:pt>
                <c:pt idx="23">
                  <c:v>6.0000000000000036</c:v>
                </c:pt>
                <c:pt idx="24">
                  <c:v>4.3999999999999986</c:v>
                </c:pt>
                <c:pt idx="25">
                  <c:v>6.8333333333333357</c:v>
                </c:pt>
                <c:pt idx="26">
                  <c:v>6.9999999999999964</c:v>
                </c:pt>
                <c:pt idx="27">
                  <c:v>7.3333333333333321</c:v>
                </c:pt>
                <c:pt idx="28">
                  <c:v>9.5000000000000036</c:v>
                </c:pt>
                <c:pt idx="29">
                  <c:v>11.666666666666664</c:v>
                </c:pt>
                <c:pt idx="30">
                  <c:v>7.8333333333333321</c:v>
                </c:pt>
                <c:pt idx="31">
                  <c:v>3.6666666666666643</c:v>
                </c:pt>
                <c:pt idx="32">
                  <c:v>4.5000000000000036</c:v>
                </c:pt>
                <c:pt idx="33">
                  <c:v>6.1999999999999957</c:v>
                </c:pt>
                <c:pt idx="34">
                  <c:v>4.7999999999999972</c:v>
                </c:pt>
                <c:pt idx="35">
                  <c:v>5.8333333333333321</c:v>
                </c:pt>
                <c:pt idx="36">
                  <c:v>9.5000000000000036</c:v>
                </c:pt>
                <c:pt idx="37">
                  <c:v>5.75</c:v>
                </c:pt>
                <c:pt idx="38">
                  <c:v>5.3333333333333321</c:v>
                </c:pt>
                <c:pt idx="39">
                  <c:v>6.5000000000000036</c:v>
                </c:pt>
                <c:pt idx="40">
                  <c:v>5.9999999999999964</c:v>
                </c:pt>
                <c:pt idx="41">
                  <c:v>5.3333333333333321</c:v>
                </c:pt>
                <c:pt idx="42">
                  <c:v>4.966666666666665</c:v>
                </c:pt>
                <c:pt idx="43">
                  <c:v>5.3333333333333321</c:v>
                </c:pt>
                <c:pt idx="44">
                  <c:v>6.0000000000000036</c:v>
                </c:pt>
                <c:pt idx="45">
                  <c:v>5.8000000000000007</c:v>
                </c:pt>
                <c:pt idx="46">
                  <c:v>6.1666666666666679</c:v>
                </c:pt>
                <c:pt idx="47">
                  <c:v>5</c:v>
                </c:pt>
                <c:pt idx="48">
                  <c:v>9.6666666666666679</c:v>
                </c:pt>
                <c:pt idx="49">
                  <c:v>8</c:v>
                </c:pt>
                <c:pt idx="50">
                  <c:v>7.3333333333333357</c:v>
                </c:pt>
                <c:pt idx="51">
                  <c:v>8.8000000000000007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6C1-4EE2-B43A-F0729A393E44}"/>
            </c:ext>
          </c:extLst>
        </c:ser>
        <c:ser>
          <c:idx val="2"/>
          <c:order val="2"/>
          <c:tx>
            <c:strRef>
              <c:f>'Summary Min &amp; Max Def '!$D$2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numRef>
              <c:f>'Summary Min &amp; Max Def '!$A$3:$A$54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numCache>
            </c:numRef>
          </c:cat>
          <c:val>
            <c:numRef>
              <c:f>'Summary Min &amp; Max Def '!$D$3:$D$54</c:f>
              <c:numCache>
                <c:formatCode>0.0</c:formatCode>
                <c:ptCount val="52"/>
                <c:pt idx="0">
                  <c:v>7.1666666666666679</c:v>
                </c:pt>
                <c:pt idx="1">
                  <c:v>5.5000000000000036</c:v>
                </c:pt>
                <c:pt idx="2">
                  <c:v>5.75</c:v>
                </c:pt>
                <c:pt idx="3">
                  <c:v>5.3333333333333321</c:v>
                </c:pt>
                <c:pt idx="4">
                  <c:v>6.5000000000000036</c:v>
                </c:pt>
                <c:pt idx="5">
                  <c:v>12.400000000000002</c:v>
                </c:pt>
                <c:pt idx="6">
                  <c:v>11.666666666666668</c:v>
                </c:pt>
                <c:pt idx="7">
                  <c:v>14.166666666666668</c:v>
                </c:pt>
                <c:pt idx="8">
                  <c:v>11.500000000000004</c:v>
                </c:pt>
                <c:pt idx="9">
                  <c:v>13.500000000000004</c:v>
                </c:pt>
                <c:pt idx="10">
                  <c:v>6.6666666666666679</c:v>
                </c:pt>
                <c:pt idx="11">
                  <c:v>11.333333333333336</c:v>
                </c:pt>
                <c:pt idx="12">
                  <c:v>12.666666666666668</c:v>
                </c:pt>
                <c:pt idx="13">
                  <c:v>10.399999999999999</c:v>
                </c:pt>
                <c:pt idx="14">
                  <c:v>12</c:v>
                </c:pt>
                <c:pt idx="15">
                  <c:v>9.75</c:v>
                </c:pt>
                <c:pt idx="16">
                  <c:v>5.8333333333333321</c:v>
                </c:pt>
                <c:pt idx="17">
                  <c:v>7.2000000000000028</c:v>
                </c:pt>
                <c:pt idx="18">
                  <c:v>7.1666666666666679</c:v>
                </c:pt>
                <c:pt idx="19">
                  <c:v>7.3333333333333321</c:v>
                </c:pt>
                <c:pt idx="20">
                  <c:v>5.1666666666666679</c:v>
                </c:pt>
                <c:pt idx="21">
                  <c:v>6.1666666666666679</c:v>
                </c:pt>
                <c:pt idx="22">
                  <c:v>7.3333333333333357</c:v>
                </c:pt>
                <c:pt idx="23">
                  <c:v>6</c:v>
                </c:pt>
                <c:pt idx="24">
                  <c:v>6.5</c:v>
                </c:pt>
                <c:pt idx="25">
                  <c:v>6.3333333333333357</c:v>
                </c:pt>
                <c:pt idx="26">
                  <c:v>7.0000000000000036</c:v>
                </c:pt>
                <c:pt idx="27">
                  <c:v>6.2000000000000028</c:v>
                </c:pt>
                <c:pt idx="28">
                  <c:v>6.9999999999999964</c:v>
                </c:pt>
                <c:pt idx="29">
                  <c:v>5.3333333333333321</c:v>
                </c:pt>
                <c:pt idx="30">
                  <c:v>7.6666666666666643</c:v>
                </c:pt>
                <c:pt idx="31">
                  <c:v>6.7999999999999972</c:v>
                </c:pt>
                <c:pt idx="32">
                  <c:v>5.6666666666666643</c:v>
                </c:pt>
                <c:pt idx="33">
                  <c:v>5.8333333333333321</c:v>
                </c:pt>
                <c:pt idx="34">
                  <c:v>7.5000000000000036</c:v>
                </c:pt>
                <c:pt idx="35">
                  <c:v>4.4000000000000021</c:v>
                </c:pt>
                <c:pt idx="36">
                  <c:v>4.6666666666666679</c:v>
                </c:pt>
                <c:pt idx="37">
                  <c:v>5.6666666666666679</c:v>
                </c:pt>
                <c:pt idx="38">
                  <c:v>5.5000000000000036</c:v>
                </c:pt>
                <c:pt idx="39">
                  <c:v>3.3333333333333357</c:v>
                </c:pt>
                <c:pt idx="40">
                  <c:v>6.6000000000000014</c:v>
                </c:pt>
                <c:pt idx="41">
                  <c:v>6.6666666666666643</c:v>
                </c:pt>
                <c:pt idx="42">
                  <c:v>7</c:v>
                </c:pt>
                <c:pt idx="43">
                  <c:v>5</c:v>
                </c:pt>
                <c:pt idx="44">
                  <c:v>8.3999999999999986</c:v>
                </c:pt>
                <c:pt idx="45">
                  <c:v>4.8333333333333357</c:v>
                </c:pt>
                <c:pt idx="46">
                  <c:v>6</c:v>
                </c:pt>
                <c:pt idx="47">
                  <c:v>5.3333333333333357</c:v>
                </c:pt>
                <c:pt idx="48">
                  <c:v>8.1666666666666643</c:v>
                </c:pt>
                <c:pt idx="49">
                  <c:v>9.3500000000000014</c:v>
                </c:pt>
                <c:pt idx="50">
                  <c:v>10</c:v>
                </c:pt>
                <c:pt idx="51">
                  <c:v>13.25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6C1-4EE2-B43A-F0729A393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-1332148784"/>
        <c:axId val="-1332140080"/>
      </c:barChart>
      <c:catAx>
        <c:axId val="-133214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2140080"/>
        <c:crosses val="autoZero"/>
        <c:auto val="1"/>
        <c:lblAlgn val="ctr"/>
        <c:lblOffset val="100"/>
        <c:noMultiLvlLbl val="0"/>
      </c:catAx>
      <c:valAx>
        <c:axId val="-133214008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3214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152401</xdr:rowOff>
    </xdr:from>
    <xdr:to>
      <xdr:col>19</xdr:col>
      <xdr:colOff>342900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E9ABF74C-F476-AA17-C03A-F06F76F64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152401</xdr:rowOff>
    </xdr:from>
    <xdr:to>
      <xdr:col>19</xdr:col>
      <xdr:colOff>342900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7207FDD0-7D31-4C20-99C5-94C34F278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152401</xdr:rowOff>
    </xdr:from>
    <xdr:to>
      <xdr:col>19</xdr:col>
      <xdr:colOff>342900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4012A7B4-11BE-4CEE-9D41-62E42BECA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0</xdr:row>
      <xdr:rowOff>152401</xdr:rowOff>
    </xdr:from>
    <xdr:to>
      <xdr:col>19</xdr:col>
      <xdr:colOff>342900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4A4C029F-FC89-46A0-9A18-EF70DD3FAA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0"/>
  <sheetViews>
    <sheetView tabSelected="1" workbookViewId="0">
      <pane ySplit="2" topLeftCell="A91" activePane="bottomLeft" state="frozen"/>
      <selection pane="bottomLeft" activeCell="I198" sqref="I198"/>
    </sheetView>
  </sheetViews>
  <sheetFormatPr defaultRowHeight="15" x14ac:dyDescent="0.25"/>
  <cols>
    <col min="1" max="1" width="13.140625" customWidth="1"/>
    <col min="2" max="2" width="14" customWidth="1"/>
    <col min="3" max="3" width="14.5703125" customWidth="1"/>
    <col min="4" max="4" width="14.7109375" customWidth="1"/>
    <col min="5" max="5" width="14.5703125" customWidth="1"/>
    <col min="6" max="6" width="15.28515625" customWidth="1"/>
    <col min="7" max="7" width="14" customWidth="1"/>
    <col min="8" max="8" width="13.85546875" customWidth="1"/>
    <col min="9" max="9" width="12.28515625" customWidth="1"/>
  </cols>
  <sheetData>
    <row r="2" spans="1:9" ht="3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9" t="s">
        <v>8</v>
      </c>
    </row>
    <row r="3" spans="1:9" x14ac:dyDescent="0.25">
      <c r="A3" s="2">
        <v>2023</v>
      </c>
      <c r="B3" s="2">
        <v>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7">
        <v>0</v>
      </c>
    </row>
    <row r="4" spans="1:9" x14ac:dyDescent="0.25">
      <c r="A4" s="4"/>
      <c r="B4" s="2">
        <v>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7">
        <v>0</v>
      </c>
    </row>
    <row r="5" spans="1:9" x14ac:dyDescent="0.25">
      <c r="A5" s="4"/>
      <c r="B5" s="2">
        <v>3</v>
      </c>
      <c r="C5" s="3">
        <v>0</v>
      </c>
      <c r="D5" s="3">
        <v>11</v>
      </c>
      <c r="E5" s="3">
        <v>2</v>
      </c>
      <c r="F5" s="3">
        <v>0</v>
      </c>
      <c r="G5" s="3">
        <v>0</v>
      </c>
      <c r="H5" s="3">
        <v>0</v>
      </c>
      <c r="I5" s="7">
        <v>13</v>
      </c>
    </row>
    <row r="6" spans="1:9" x14ac:dyDescent="0.25">
      <c r="A6" s="4"/>
      <c r="B6" s="2">
        <v>4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7">
        <v>0</v>
      </c>
    </row>
    <row r="7" spans="1:9" x14ac:dyDescent="0.25">
      <c r="A7" s="4"/>
      <c r="B7" s="2">
        <v>5</v>
      </c>
      <c r="C7" s="3">
        <v>0</v>
      </c>
      <c r="D7" s="3">
        <v>3</v>
      </c>
      <c r="E7" s="3">
        <v>9</v>
      </c>
      <c r="F7" s="3">
        <v>6</v>
      </c>
      <c r="G7" s="3">
        <v>0</v>
      </c>
      <c r="H7" s="3">
        <v>0</v>
      </c>
      <c r="I7" s="7">
        <v>18</v>
      </c>
    </row>
    <row r="8" spans="1:9" x14ac:dyDescent="0.25">
      <c r="A8" s="4"/>
      <c r="B8" s="2">
        <v>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7">
        <v>0</v>
      </c>
    </row>
    <row r="9" spans="1:9" x14ac:dyDescent="0.25">
      <c r="A9" s="4"/>
      <c r="B9" s="2">
        <v>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7">
        <v>0</v>
      </c>
    </row>
    <row r="10" spans="1:9" x14ac:dyDescent="0.25">
      <c r="A10" s="4"/>
      <c r="B10" s="2">
        <v>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7">
        <v>0</v>
      </c>
    </row>
    <row r="11" spans="1:9" x14ac:dyDescent="0.25">
      <c r="A11" s="4"/>
      <c r="B11" s="2">
        <v>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7">
        <v>0</v>
      </c>
    </row>
    <row r="12" spans="1:9" x14ac:dyDescent="0.25">
      <c r="A12" s="4"/>
      <c r="B12" s="2">
        <v>10</v>
      </c>
      <c r="C12" s="3">
        <v>0</v>
      </c>
      <c r="D12" s="3">
        <v>13</v>
      </c>
      <c r="E12" s="3">
        <v>0</v>
      </c>
      <c r="F12" s="3">
        <v>0</v>
      </c>
      <c r="G12" s="3">
        <v>0</v>
      </c>
      <c r="H12" s="3">
        <v>0</v>
      </c>
      <c r="I12" s="7">
        <v>13</v>
      </c>
    </row>
    <row r="13" spans="1:9" x14ac:dyDescent="0.25">
      <c r="A13" s="4"/>
      <c r="B13" s="2">
        <v>11</v>
      </c>
      <c r="C13" s="3">
        <v>0</v>
      </c>
      <c r="D13" s="3">
        <v>0</v>
      </c>
      <c r="E13" s="3">
        <v>4</v>
      </c>
      <c r="F13" s="3">
        <v>1</v>
      </c>
      <c r="G13" s="3">
        <v>63</v>
      </c>
      <c r="H13" s="3">
        <v>0</v>
      </c>
      <c r="I13" s="7">
        <v>68</v>
      </c>
    </row>
    <row r="14" spans="1:9" x14ac:dyDescent="0.25">
      <c r="A14" s="4"/>
      <c r="B14" s="2">
        <v>12</v>
      </c>
      <c r="C14" s="3">
        <v>93</v>
      </c>
      <c r="D14" s="3">
        <v>0</v>
      </c>
      <c r="E14" s="3">
        <v>0</v>
      </c>
      <c r="F14" s="3">
        <v>0</v>
      </c>
      <c r="G14" s="3">
        <v>14</v>
      </c>
      <c r="H14" s="3">
        <v>22</v>
      </c>
      <c r="I14" s="7">
        <v>129</v>
      </c>
    </row>
    <row r="15" spans="1:9" x14ac:dyDescent="0.25">
      <c r="A15" s="4"/>
      <c r="B15" s="2">
        <v>13</v>
      </c>
      <c r="C15" s="3">
        <v>2</v>
      </c>
      <c r="D15" s="3">
        <v>0</v>
      </c>
      <c r="E15" s="3">
        <v>0</v>
      </c>
      <c r="F15" s="3">
        <v>0</v>
      </c>
      <c r="G15" s="3">
        <v>34</v>
      </c>
      <c r="H15" s="3">
        <v>9</v>
      </c>
      <c r="I15" s="7">
        <v>45</v>
      </c>
    </row>
    <row r="16" spans="1:9" x14ac:dyDescent="0.25">
      <c r="A16" s="4"/>
      <c r="B16" s="2">
        <v>14</v>
      </c>
      <c r="C16" s="3">
        <v>0</v>
      </c>
      <c r="D16" s="3">
        <v>3</v>
      </c>
      <c r="E16" s="3">
        <v>0</v>
      </c>
      <c r="F16" s="3">
        <v>0</v>
      </c>
      <c r="G16" s="3">
        <v>0</v>
      </c>
      <c r="H16" s="3">
        <v>0</v>
      </c>
      <c r="I16" s="7">
        <v>3</v>
      </c>
    </row>
    <row r="17" spans="1:9" x14ac:dyDescent="0.25">
      <c r="A17" s="4"/>
      <c r="B17" s="2">
        <v>15</v>
      </c>
      <c r="C17" s="3">
        <v>0</v>
      </c>
      <c r="D17" s="3">
        <v>0</v>
      </c>
      <c r="E17" s="3">
        <v>0</v>
      </c>
      <c r="F17" s="3">
        <v>0</v>
      </c>
      <c r="G17" s="3">
        <v>86</v>
      </c>
      <c r="H17" s="3">
        <v>0</v>
      </c>
      <c r="I17" s="7">
        <v>86</v>
      </c>
    </row>
    <row r="18" spans="1:9" x14ac:dyDescent="0.25">
      <c r="A18" s="4"/>
      <c r="B18" s="2">
        <v>16</v>
      </c>
      <c r="C18" s="3">
        <v>0</v>
      </c>
      <c r="D18" s="3">
        <v>0</v>
      </c>
      <c r="E18" s="3">
        <v>0</v>
      </c>
      <c r="F18" s="3">
        <v>0</v>
      </c>
      <c r="G18" s="3">
        <v>58</v>
      </c>
      <c r="H18" s="3">
        <v>0</v>
      </c>
      <c r="I18" s="7">
        <v>58</v>
      </c>
    </row>
    <row r="19" spans="1:9" x14ac:dyDescent="0.25">
      <c r="A19" s="4"/>
      <c r="B19" s="2">
        <v>17</v>
      </c>
      <c r="C19" s="3">
        <v>37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7">
        <v>37</v>
      </c>
    </row>
    <row r="20" spans="1:9" x14ac:dyDescent="0.25">
      <c r="A20" s="4"/>
      <c r="B20" s="2">
        <v>18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7">
        <v>0</v>
      </c>
    </row>
    <row r="21" spans="1:9" x14ac:dyDescent="0.25">
      <c r="A21" s="4"/>
      <c r="B21" s="2">
        <v>19</v>
      </c>
      <c r="C21" s="3">
        <v>108</v>
      </c>
      <c r="D21" s="3">
        <v>0</v>
      </c>
      <c r="E21" s="3">
        <v>25</v>
      </c>
      <c r="F21" s="3">
        <v>0</v>
      </c>
      <c r="G21" s="3">
        <v>0</v>
      </c>
      <c r="H21" s="3">
        <v>0</v>
      </c>
      <c r="I21" s="7">
        <v>133</v>
      </c>
    </row>
    <row r="22" spans="1:9" x14ac:dyDescent="0.25">
      <c r="A22" s="4"/>
      <c r="B22" s="2">
        <v>20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7">
        <v>0</v>
      </c>
    </row>
    <row r="23" spans="1:9" x14ac:dyDescent="0.25">
      <c r="A23" s="4"/>
      <c r="B23" s="2">
        <v>21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7">
        <v>0</v>
      </c>
    </row>
    <row r="24" spans="1:9" x14ac:dyDescent="0.25">
      <c r="A24" s="4"/>
      <c r="B24" s="2">
        <v>22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7">
        <v>0</v>
      </c>
    </row>
    <row r="25" spans="1:9" x14ac:dyDescent="0.25">
      <c r="A25" s="4"/>
      <c r="B25" s="2">
        <v>23</v>
      </c>
      <c r="C25" s="3">
        <v>0</v>
      </c>
      <c r="D25" s="3">
        <v>0</v>
      </c>
      <c r="E25" s="3">
        <v>7</v>
      </c>
      <c r="F25" s="3">
        <v>0</v>
      </c>
      <c r="G25" s="3">
        <v>0</v>
      </c>
      <c r="H25" s="3">
        <v>0</v>
      </c>
      <c r="I25" s="7">
        <v>7</v>
      </c>
    </row>
    <row r="26" spans="1:9" x14ac:dyDescent="0.25">
      <c r="A26" s="4"/>
      <c r="B26" s="2">
        <v>24</v>
      </c>
      <c r="C26" s="3">
        <v>20</v>
      </c>
      <c r="D26" s="3">
        <v>58</v>
      </c>
      <c r="E26" s="3">
        <v>0</v>
      </c>
      <c r="F26" s="3">
        <v>0</v>
      </c>
      <c r="G26" s="3">
        <v>0</v>
      </c>
      <c r="H26" s="3">
        <v>0</v>
      </c>
      <c r="I26" s="7">
        <v>78</v>
      </c>
    </row>
    <row r="27" spans="1:9" x14ac:dyDescent="0.25">
      <c r="A27" s="4"/>
      <c r="B27" s="2">
        <v>25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7">
        <v>0</v>
      </c>
    </row>
    <row r="28" spans="1:9" x14ac:dyDescent="0.25">
      <c r="A28" s="4"/>
      <c r="B28" s="2">
        <v>26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7">
        <v>0</v>
      </c>
    </row>
    <row r="29" spans="1:9" x14ac:dyDescent="0.25">
      <c r="A29" s="4"/>
      <c r="B29" s="2">
        <v>27</v>
      </c>
      <c r="C29" s="3">
        <v>0</v>
      </c>
      <c r="D29" s="3">
        <v>46</v>
      </c>
      <c r="E29" s="3">
        <v>12</v>
      </c>
      <c r="F29" s="3">
        <v>0</v>
      </c>
      <c r="G29" s="3">
        <v>6.5</v>
      </c>
      <c r="H29" s="3">
        <v>0</v>
      </c>
      <c r="I29" s="7">
        <v>64.5</v>
      </c>
    </row>
    <row r="30" spans="1:9" x14ac:dyDescent="0.25">
      <c r="A30" s="4"/>
      <c r="B30" s="2">
        <v>28</v>
      </c>
      <c r="C30" s="3">
        <v>0</v>
      </c>
      <c r="D30" s="3">
        <v>6</v>
      </c>
      <c r="E30" s="3">
        <v>0</v>
      </c>
      <c r="F30" s="3">
        <v>0</v>
      </c>
      <c r="G30" s="3">
        <v>0</v>
      </c>
      <c r="H30" s="3">
        <v>0</v>
      </c>
      <c r="I30" s="7">
        <v>6</v>
      </c>
    </row>
    <row r="31" spans="1:9" x14ac:dyDescent="0.25">
      <c r="A31" s="4"/>
      <c r="B31" s="2">
        <v>29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7">
        <v>0</v>
      </c>
    </row>
    <row r="32" spans="1:9" x14ac:dyDescent="0.25">
      <c r="A32" s="4"/>
      <c r="B32" s="2">
        <v>30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7">
        <v>0</v>
      </c>
    </row>
    <row r="33" spans="1:9" x14ac:dyDescent="0.25">
      <c r="A33" s="4"/>
      <c r="B33" s="2">
        <v>31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7">
        <v>0</v>
      </c>
    </row>
    <row r="34" spans="1:9" x14ac:dyDescent="0.25">
      <c r="A34" s="4"/>
      <c r="B34" s="2">
        <v>32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7">
        <v>0</v>
      </c>
    </row>
    <row r="35" spans="1:9" x14ac:dyDescent="0.25">
      <c r="A35" s="4"/>
      <c r="B35" s="2">
        <v>33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7">
        <v>0</v>
      </c>
    </row>
    <row r="36" spans="1:9" x14ac:dyDescent="0.25">
      <c r="A36" s="4"/>
      <c r="B36" s="2">
        <v>34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7">
        <v>0</v>
      </c>
    </row>
    <row r="37" spans="1:9" x14ac:dyDescent="0.25">
      <c r="A37" s="4"/>
      <c r="B37" s="2">
        <v>35</v>
      </c>
      <c r="C37" s="3">
        <v>0</v>
      </c>
      <c r="D37" s="3">
        <v>0</v>
      </c>
      <c r="E37" s="3">
        <v>0</v>
      </c>
      <c r="F37" s="3">
        <v>48</v>
      </c>
      <c r="G37" s="3">
        <v>0</v>
      </c>
      <c r="H37" s="3">
        <v>14</v>
      </c>
      <c r="I37" s="7">
        <v>62</v>
      </c>
    </row>
    <row r="38" spans="1:9" x14ac:dyDescent="0.25">
      <c r="A38" s="4"/>
      <c r="B38" s="2">
        <v>36</v>
      </c>
      <c r="C38" s="3">
        <v>62</v>
      </c>
      <c r="D38" s="3">
        <v>20</v>
      </c>
      <c r="E38" s="3">
        <v>0</v>
      </c>
      <c r="F38" s="3">
        <v>29</v>
      </c>
      <c r="G38" s="3">
        <v>0</v>
      </c>
      <c r="H38" s="3">
        <v>15</v>
      </c>
      <c r="I38" s="7">
        <v>126</v>
      </c>
    </row>
    <row r="39" spans="1:9" x14ac:dyDescent="0.25">
      <c r="A39" s="4"/>
      <c r="B39" s="2">
        <v>37</v>
      </c>
      <c r="C39" s="3">
        <v>3</v>
      </c>
      <c r="D39" s="3">
        <v>5</v>
      </c>
      <c r="E39" s="3">
        <v>0</v>
      </c>
      <c r="F39" s="3">
        <v>58</v>
      </c>
      <c r="G39" s="3">
        <v>6</v>
      </c>
      <c r="H39" s="3">
        <v>0</v>
      </c>
      <c r="I39" s="7">
        <v>72</v>
      </c>
    </row>
    <row r="40" spans="1:9" x14ac:dyDescent="0.25">
      <c r="A40" s="4"/>
      <c r="B40" s="2">
        <v>38</v>
      </c>
      <c r="C40" s="3">
        <v>0</v>
      </c>
      <c r="D40" s="3">
        <v>0</v>
      </c>
      <c r="E40" s="3">
        <v>9</v>
      </c>
      <c r="F40" s="3">
        <v>0</v>
      </c>
      <c r="G40" s="3">
        <v>0</v>
      </c>
      <c r="H40" s="3">
        <v>15</v>
      </c>
      <c r="I40" s="7">
        <v>24</v>
      </c>
    </row>
    <row r="41" spans="1:9" x14ac:dyDescent="0.25">
      <c r="A41" s="4"/>
      <c r="B41" s="2">
        <v>39</v>
      </c>
      <c r="C41" s="3">
        <v>14</v>
      </c>
      <c r="D41" s="3">
        <v>5</v>
      </c>
      <c r="E41" s="3">
        <v>15</v>
      </c>
      <c r="F41" s="3">
        <v>0</v>
      </c>
      <c r="G41" s="3">
        <v>78</v>
      </c>
      <c r="H41" s="3">
        <v>0</v>
      </c>
      <c r="I41" s="7">
        <v>112</v>
      </c>
    </row>
    <row r="42" spans="1:9" x14ac:dyDescent="0.25">
      <c r="A42" s="4"/>
      <c r="B42" s="2">
        <v>40</v>
      </c>
      <c r="C42" s="3">
        <v>29</v>
      </c>
      <c r="D42" s="3">
        <v>15</v>
      </c>
      <c r="E42" s="3">
        <v>8</v>
      </c>
      <c r="F42" s="3">
        <v>1</v>
      </c>
      <c r="G42" s="3">
        <v>8.5</v>
      </c>
      <c r="H42" s="3">
        <v>0</v>
      </c>
      <c r="I42" s="7">
        <v>61.5</v>
      </c>
    </row>
    <row r="43" spans="1:9" x14ac:dyDescent="0.25">
      <c r="A43" s="4"/>
      <c r="B43" s="2">
        <v>41</v>
      </c>
      <c r="C43" s="3">
        <v>11.5</v>
      </c>
      <c r="D43" s="3">
        <v>7.35</v>
      </c>
      <c r="E43" s="3">
        <v>9</v>
      </c>
      <c r="F43" s="3">
        <v>5</v>
      </c>
      <c r="G43" s="3">
        <v>8</v>
      </c>
      <c r="H43" s="3">
        <v>25</v>
      </c>
      <c r="I43" s="7">
        <v>65.849999999999994</v>
      </c>
    </row>
    <row r="44" spans="1:9" x14ac:dyDescent="0.25">
      <c r="A44" s="4"/>
      <c r="B44" s="2">
        <v>42</v>
      </c>
      <c r="C44" s="3">
        <v>34</v>
      </c>
      <c r="D44" s="3">
        <v>30</v>
      </c>
      <c r="E44" s="3">
        <v>45</v>
      </c>
      <c r="F44" s="3">
        <v>55</v>
      </c>
      <c r="G44" s="3">
        <v>0</v>
      </c>
      <c r="H44" s="3">
        <v>0</v>
      </c>
      <c r="I44" s="7">
        <v>164</v>
      </c>
    </row>
    <row r="45" spans="1:9" x14ac:dyDescent="0.25">
      <c r="A45" s="4"/>
      <c r="B45" s="2">
        <v>43</v>
      </c>
      <c r="C45" s="3">
        <v>53</v>
      </c>
      <c r="D45" s="3">
        <v>0</v>
      </c>
      <c r="E45" s="3">
        <v>46</v>
      </c>
      <c r="F45" s="3">
        <v>9</v>
      </c>
      <c r="G45" s="3">
        <v>0</v>
      </c>
      <c r="H45" s="3">
        <v>0</v>
      </c>
      <c r="I45" s="7">
        <v>108</v>
      </c>
    </row>
    <row r="46" spans="1:9" x14ac:dyDescent="0.25">
      <c r="A46" s="4"/>
      <c r="B46" s="2">
        <v>44</v>
      </c>
      <c r="C46" s="3">
        <v>27</v>
      </c>
      <c r="D46" s="3">
        <v>29</v>
      </c>
      <c r="E46" s="3">
        <v>1.5</v>
      </c>
      <c r="F46" s="3">
        <v>55</v>
      </c>
      <c r="G46" s="3">
        <v>18</v>
      </c>
      <c r="H46" s="3">
        <v>34</v>
      </c>
      <c r="I46" s="7">
        <v>164.5</v>
      </c>
    </row>
    <row r="47" spans="1:9" x14ac:dyDescent="0.25">
      <c r="A47" s="4"/>
      <c r="B47" s="2">
        <v>45</v>
      </c>
      <c r="C47" s="3">
        <v>20</v>
      </c>
      <c r="D47" s="3">
        <v>9.5</v>
      </c>
      <c r="E47" s="3">
        <v>0</v>
      </c>
      <c r="F47" s="3">
        <v>10.5</v>
      </c>
      <c r="G47" s="3">
        <v>65</v>
      </c>
      <c r="H47" s="3">
        <v>4</v>
      </c>
      <c r="I47" s="7">
        <v>109</v>
      </c>
    </row>
    <row r="48" spans="1:9" x14ac:dyDescent="0.25">
      <c r="A48" s="4"/>
      <c r="B48" s="2">
        <v>46</v>
      </c>
      <c r="C48" s="3">
        <v>47</v>
      </c>
      <c r="D48" s="3">
        <v>0</v>
      </c>
      <c r="E48" s="3">
        <v>17</v>
      </c>
      <c r="F48" s="3">
        <v>0</v>
      </c>
      <c r="G48" s="3">
        <v>9.5</v>
      </c>
      <c r="H48" s="3">
        <v>24</v>
      </c>
      <c r="I48" s="7">
        <v>97.5</v>
      </c>
    </row>
    <row r="49" spans="1:9" x14ac:dyDescent="0.25">
      <c r="A49" s="4"/>
      <c r="B49" s="2">
        <v>47</v>
      </c>
      <c r="C49" s="3">
        <v>204</v>
      </c>
      <c r="D49" s="3">
        <v>34</v>
      </c>
      <c r="E49" s="3">
        <v>9.5</v>
      </c>
      <c r="F49" s="3">
        <v>8</v>
      </c>
      <c r="G49" s="3">
        <v>0</v>
      </c>
      <c r="H49" s="3">
        <v>0</v>
      </c>
      <c r="I49" s="7">
        <v>255.5</v>
      </c>
    </row>
    <row r="50" spans="1:9" x14ac:dyDescent="0.25">
      <c r="A50" s="4"/>
      <c r="B50" s="2">
        <v>48</v>
      </c>
      <c r="C50" s="3">
        <v>0</v>
      </c>
      <c r="D50" s="3">
        <v>0</v>
      </c>
      <c r="E50" s="3">
        <v>31</v>
      </c>
      <c r="F50" s="3">
        <v>8</v>
      </c>
      <c r="G50" s="3">
        <v>2</v>
      </c>
      <c r="H50" s="3">
        <v>3</v>
      </c>
      <c r="I50" s="7">
        <v>44</v>
      </c>
    </row>
    <row r="51" spans="1:9" x14ac:dyDescent="0.25">
      <c r="A51" s="4"/>
      <c r="B51" s="2">
        <v>49</v>
      </c>
      <c r="C51" s="3">
        <v>21</v>
      </c>
      <c r="D51" s="3">
        <v>4</v>
      </c>
      <c r="E51" s="3">
        <v>1</v>
      </c>
      <c r="F51" s="3">
        <v>0</v>
      </c>
      <c r="G51" s="3">
        <v>28</v>
      </c>
      <c r="H51" s="3">
        <v>0</v>
      </c>
      <c r="I51" s="7">
        <v>54</v>
      </c>
    </row>
    <row r="52" spans="1:9" x14ac:dyDescent="0.25">
      <c r="A52" s="4"/>
      <c r="B52" s="2">
        <v>50</v>
      </c>
      <c r="C52" s="3">
        <v>38</v>
      </c>
      <c r="D52" s="3">
        <v>0</v>
      </c>
      <c r="E52" s="3">
        <v>0</v>
      </c>
      <c r="F52" s="3">
        <v>0</v>
      </c>
      <c r="G52" s="3">
        <v>9</v>
      </c>
      <c r="H52" s="3">
        <v>12</v>
      </c>
      <c r="I52" s="7">
        <v>59</v>
      </c>
    </row>
    <row r="53" spans="1:9" x14ac:dyDescent="0.25">
      <c r="A53" s="4"/>
      <c r="B53" s="2">
        <v>51</v>
      </c>
      <c r="C53" s="3">
        <v>14</v>
      </c>
      <c r="D53" s="3">
        <v>12</v>
      </c>
      <c r="E53" s="3">
        <v>0</v>
      </c>
      <c r="F53" s="3">
        <v>0</v>
      </c>
      <c r="G53" s="3">
        <v>0</v>
      </c>
      <c r="H53" s="3">
        <v>0</v>
      </c>
      <c r="I53" s="7">
        <v>26</v>
      </c>
    </row>
    <row r="54" spans="1:9" x14ac:dyDescent="0.25">
      <c r="A54" s="4"/>
      <c r="B54" s="2">
        <v>52</v>
      </c>
      <c r="C54" s="3">
        <v>0</v>
      </c>
      <c r="D54" s="3">
        <v>0</v>
      </c>
      <c r="E54" s="3">
        <v>2</v>
      </c>
      <c r="F54" s="3">
        <v>0</v>
      </c>
      <c r="G54" s="3">
        <v>0</v>
      </c>
      <c r="H54" s="3">
        <v>0</v>
      </c>
      <c r="I54" s="7">
        <v>2</v>
      </c>
    </row>
    <row r="55" spans="1:9" x14ac:dyDescent="0.25">
      <c r="A55" s="2">
        <v>2024</v>
      </c>
      <c r="B55" s="2">
        <v>1</v>
      </c>
      <c r="C55" s="3">
        <v>0</v>
      </c>
      <c r="D55" s="3">
        <v>68</v>
      </c>
      <c r="E55" s="3">
        <v>0</v>
      </c>
      <c r="F55" s="3">
        <v>0</v>
      </c>
      <c r="G55" s="3">
        <v>0</v>
      </c>
      <c r="H55" s="3">
        <v>0</v>
      </c>
      <c r="I55" s="7">
        <v>68</v>
      </c>
    </row>
    <row r="56" spans="1:9" x14ac:dyDescent="0.25">
      <c r="A56" s="4"/>
      <c r="B56" s="2">
        <v>2</v>
      </c>
      <c r="C56" s="3">
        <v>6</v>
      </c>
      <c r="D56" s="3">
        <v>25</v>
      </c>
      <c r="E56" s="3">
        <v>0</v>
      </c>
      <c r="F56" s="3">
        <v>0.5</v>
      </c>
      <c r="G56" s="3">
        <v>0</v>
      </c>
      <c r="H56" s="3">
        <v>0</v>
      </c>
      <c r="I56" s="7">
        <v>31.5</v>
      </c>
    </row>
    <row r="57" spans="1:9" x14ac:dyDescent="0.25">
      <c r="A57" s="4"/>
      <c r="B57" s="2">
        <v>3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7">
        <v>0</v>
      </c>
    </row>
    <row r="58" spans="1:9" x14ac:dyDescent="0.25">
      <c r="A58" s="4"/>
      <c r="B58" s="2">
        <v>4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7">
        <v>0</v>
      </c>
    </row>
    <row r="59" spans="1:9" x14ac:dyDescent="0.25">
      <c r="A59" s="4"/>
      <c r="B59" s="2">
        <v>5</v>
      </c>
      <c r="C59" s="3">
        <v>0</v>
      </c>
      <c r="D59" s="3">
        <v>0</v>
      </c>
      <c r="E59" s="3">
        <v>14</v>
      </c>
      <c r="F59" s="3">
        <v>3.5</v>
      </c>
      <c r="G59" s="3">
        <v>0</v>
      </c>
      <c r="H59" s="3">
        <v>0</v>
      </c>
      <c r="I59" s="7">
        <v>17.5</v>
      </c>
    </row>
    <row r="60" spans="1:9" x14ac:dyDescent="0.25">
      <c r="A60" s="4"/>
      <c r="B60" s="2">
        <v>6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7">
        <v>0</v>
      </c>
    </row>
    <row r="61" spans="1:9" x14ac:dyDescent="0.25">
      <c r="A61" s="4"/>
      <c r="B61" s="2">
        <v>7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7">
        <v>0</v>
      </c>
    </row>
    <row r="62" spans="1:9" x14ac:dyDescent="0.25">
      <c r="A62" s="4"/>
      <c r="B62" s="2">
        <v>8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7</v>
      </c>
      <c r="I62" s="7">
        <v>7</v>
      </c>
    </row>
    <row r="63" spans="1:9" x14ac:dyDescent="0.25">
      <c r="A63" s="4"/>
      <c r="B63" s="2">
        <v>9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7">
        <v>0</v>
      </c>
    </row>
    <row r="64" spans="1:9" x14ac:dyDescent="0.25">
      <c r="A64" s="4"/>
      <c r="B64" s="2">
        <v>10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7">
        <v>0</v>
      </c>
    </row>
    <row r="65" spans="1:9" x14ac:dyDescent="0.25">
      <c r="A65" s="4"/>
      <c r="B65" s="2">
        <v>11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7">
        <v>0</v>
      </c>
    </row>
    <row r="66" spans="1:9" x14ac:dyDescent="0.25">
      <c r="A66" s="4"/>
      <c r="B66" s="2">
        <v>12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11</v>
      </c>
      <c r="I66" s="7">
        <v>11</v>
      </c>
    </row>
    <row r="67" spans="1:9" x14ac:dyDescent="0.25">
      <c r="A67" s="4"/>
      <c r="B67" s="2">
        <v>13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7">
        <v>0</v>
      </c>
    </row>
    <row r="68" spans="1:9" x14ac:dyDescent="0.25">
      <c r="A68" s="4"/>
      <c r="B68" s="2">
        <v>14</v>
      </c>
      <c r="C68" s="3">
        <v>0</v>
      </c>
      <c r="D68" s="3">
        <v>0</v>
      </c>
      <c r="E68" s="3">
        <v>7</v>
      </c>
      <c r="F68" s="3">
        <v>0</v>
      </c>
      <c r="G68" s="3">
        <v>0</v>
      </c>
      <c r="H68" s="3">
        <v>0</v>
      </c>
      <c r="I68" s="7">
        <v>7</v>
      </c>
    </row>
    <row r="69" spans="1:9" x14ac:dyDescent="0.25">
      <c r="A69" s="4"/>
      <c r="B69" s="2">
        <v>15</v>
      </c>
      <c r="C69" s="3">
        <v>37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7">
        <v>37</v>
      </c>
    </row>
    <row r="70" spans="1:9" x14ac:dyDescent="0.25">
      <c r="A70" s="4"/>
      <c r="B70" s="2">
        <v>16</v>
      </c>
      <c r="C70" s="3">
        <v>0</v>
      </c>
      <c r="D70" s="3">
        <v>24</v>
      </c>
      <c r="E70" s="3">
        <v>17</v>
      </c>
      <c r="F70" s="3">
        <v>52</v>
      </c>
      <c r="G70" s="3">
        <v>0</v>
      </c>
      <c r="H70" s="3">
        <v>0</v>
      </c>
      <c r="I70" s="7">
        <v>93</v>
      </c>
    </row>
    <row r="71" spans="1:9" x14ac:dyDescent="0.25">
      <c r="A71" s="4"/>
      <c r="B71" s="2">
        <v>17</v>
      </c>
      <c r="C71" s="3">
        <v>10</v>
      </c>
      <c r="D71" s="3">
        <v>28</v>
      </c>
      <c r="E71" s="3">
        <v>0</v>
      </c>
      <c r="F71" s="3">
        <v>0</v>
      </c>
      <c r="G71" s="3">
        <v>0</v>
      </c>
      <c r="H71" s="3">
        <v>0</v>
      </c>
      <c r="I71" s="7">
        <v>38</v>
      </c>
    </row>
    <row r="72" spans="1:9" x14ac:dyDescent="0.25">
      <c r="A72" s="4"/>
      <c r="B72" s="2">
        <v>18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7">
        <v>0</v>
      </c>
    </row>
    <row r="73" spans="1:9" x14ac:dyDescent="0.25">
      <c r="A73" s="4"/>
      <c r="B73" s="2">
        <v>19</v>
      </c>
      <c r="C73" s="3">
        <v>0</v>
      </c>
      <c r="D73" s="3">
        <v>3.5</v>
      </c>
      <c r="E73" s="3">
        <v>73</v>
      </c>
      <c r="F73" s="3">
        <v>0</v>
      </c>
      <c r="G73" s="3">
        <v>0</v>
      </c>
      <c r="H73" s="3">
        <v>0</v>
      </c>
      <c r="I73" s="7">
        <v>76.5</v>
      </c>
    </row>
    <row r="74" spans="1:9" x14ac:dyDescent="0.25">
      <c r="A74" s="4"/>
      <c r="B74" s="2">
        <v>20</v>
      </c>
      <c r="C74" s="3">
        <v>107</v>
      </c>
      <c r="D74" s="3">
        <v>0</v>
      </c>
      <c r="E74" s="3">
        <v>94</v>
      </c>
      <c r="F74" s="3">
        <v>0</v>
      </c>
      <c r="G74" s="3">
        <v>14.5</v>
      </c>
      <c r="H74" s="3">
        <v>0</v>
      </c>
      <c r="I74" s="7">
        <v>215.5</v>
      </c>
    </row>
    <row r="75" spans="1:9" x14ac:dyDescent="0.25">
      <c r="A75" s="4"/>
      <c r="B75" s="2">
        <v>21</v>
      </c>
      <c r="C75" s="3">
        <v>57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7">
        <v>57</v>
      </c>
    </row>
    <row r="76" spans="1:9" x14ac:dyDescent="0.25">
      <c r="A76" s="4"/>
      <c r="B76" s="2">
        <v>22</v>
      </c>
      <c r="C76" s="3">
        <v>114</v>
      </c>
      <c r="D76" s="3">
        <v>91</v>
      </c>
      <c r="E76" s="3">
        <v>102</v>
      </c>
      <c r="F76" s="3">
        <v>51</v>
      </c>
      <c r="G76" s="3">
        <v>0</v>
      </c>
      <c r="H76" s="3">
        <v>0</v>
      </c>
      <c r="I76" s="7">
        <v>358</v>
      </c>
    </row>
    <row r="77" spans="1:9" x14ac:dyDescent="0.25">
      <c r="A77" s="4"/>
      <c r="B77" s="2">
        <v>23</v>
      </c>
      <c r="C77" s="3">
        <v>22</v>
      </c>
      <c r="D77" s="3">
        <v>1</v>
      </c>
      <c r="E77" s="3">
        <v>5</v>
      </c>
      <c r="F77" s="3">
        <v>0</v>
      </c>
      <c r="G77" s="3">
        <v>0</v>
      </c>
      <c r="H77" s="3">
        <v>4.5</v>
      </c>
      <c r="I77" s="7">
        <v>32.5</v>
      </c>
    </row>
    <row r="78" spans="1:9" x14ac:dyDescent="0.25">
      <c r="A78" s="4"/>
      <c r="B78" s="2">
        <v>24</v>
      </c>
      <c r="C78" s="3">
        <v>18</v>
      </c>
      <c r="D78" s="3">
        <v>0</v>
      </c>
      <c r="E78" s="3">
        <v>6</v>
      </c>
      <c r="F78" s="3">
        <v>14</v>
      </c>
      <c r="G78" s="3">
        <v>0</v>
      </c>
      <c r="H78" s="3">
        <v>0</v>
      </c>
      <c r="I78" s="7">
        <v>38</v>
      </c>
    </row>
    <row r="79" spans="1:9" x14ac:dyDescent="0.25">
      <c r="A79" s="4"/>
      <c r="B79" s="2">
        <v>25</v>
      </c>
      <c r="C79" s="3">
        <v>0</v>
      </c>
      <c r="D79" s="3">
        <v>0</v>
      </c>
      <c r="E79" s="3">
        <v>0</v>
      </c>
      <c r="F79" s="3">
        <v>24</v>
      </c>
      <c r="G79" s="3">
        <v>0</v>
      </c>
      <c r="H79" s="3">
        <v>14</v>
      </c>
      <c r="I79" s="7">
        <v>38</v>
      </c>
    </row>
    <row r="80" spans="1:9" x14ac:dyDescent="0.25">
      <c r="A80" s="4"/>
      <c r="B80" s="2">
        <v>26</v>
      </c>
      <c r="C80" s="3">
        <v>6</v>
      </c>
      <c r="D80" s="3">
        <v>4</v>
      </c>
      <c r="E80" s="3">
        <v>25</v>
      </c>
      <c r="F80" s="3">
        <v>0</v>
      </c>
      <c r="G80" s="3">
        <v>0</v>
      </c>
      <c r="H80" s="3">
        <v>0</v>
      </c>
      <c r="I80" s="7">
        <v>35</v>
      </c>
    </row>
    <row r="81" spans="1:9" x14ac:dyDescent="0.25">
      <c r="A81" s="4"/>
      <c r="B81" s="2">
        <v>27</v>
      </c>
      <c r="C81" s="3">
        <v>0</v>
      </c>
      <c r="D81" s="3">
        <v>0</v>
      </c>
      <c r="E81" s="3">
        <v>0</v>
      </c>
      <c r="F81" s="3">
        <v>0</v>
      </c>
      <c r="G81" s="3">
        <v>2.5</v>
      </c>
      <c r="H81" s="3">
        <v>20</v>
      </c>
      <c r="I81" s="7">
        <v>22.5</v>
      </c>
    </row>
    <row r="82" spans="1:9" x14ac:dyDescent="0.25">
      <c r="A82" s="4"/>
      <c r="B82" s="2">
        <v>28</v>
      </c>
      <c r="C82" s="3">
        <v>12</v>
      </c>
      <c r="D82" s="3">
        <v>0</v>
      </c>
      <c r="E82" s="3">
        <v>0</v>
      </c>
      <c r="F82" s="3">
        <v>2.5</v>
      </c>
      <c r="G82" s="3">
        <v>0</v>
      </c>
      <c r="H82" s="3">
        <v>42</v>
      </c>
      <c r="I82" s="7">
        <v>56.5</v>
      </c>
    </row>
    <row r="83" spans="1:9" x14ac:dyDescent="0.25">
      <c r="A83" s="4"/>
      <c r="B83" s="2">
        <v>29</v>
      </c>
      <c r="C83" s="3">
        <v>5</v>
      </c>
      <c r="D83" s="3">
        <v>7</v>
      </c>
      <c r="E83" s="3">
        <v>2</v>
      </c>
      <c r="F83" s="3">
        <v>0</v>
      </c>
      <c r="G83" s="3">
        <v>0</v>
      </c>
      <c r="H83" s="3">
        <v>0</v>
      </c>
      <c r="I83" s="7">
        <v>14</v>
      </c>
    </row>
    <row r="84" spans="1:9" x14ac:dyDescent="0.25">
      <c r="A84" s="4"/>
      <c r="B84" s="2">
        <v>30</v>
      </c>
      <c r="C84" s="3">
        <v>14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7">
        <v>14</v>
      </c>
    </row>
    <row r="85" spans="1:9" x14ac:dyDescent="0.25">
      <c r="A85" s="4"/>
      <c r="B85" s="2">
        <v>31</v>
      </c>
      <c r="C85" s="3">
        <v>15</v>
      </c>
      <c r="D85" s="3">
        <v>15</v>
      </c>
      <c r="E85" s="3">
        <v>4</v>
      </c>
      <c r="F85" s="3">
        <v>0</v>
      </c>
      <c r="G85" s="3">
        <v>14</v>
      </c>
      <c r="H85" s="3">
        <v>2</v>
      </c>
      <c r="I85" s="7">
        <v>50</v>
      </c>
    </row>
    <row r="86" spans="1:9" x14ac:dyDescent="0.25">
      <c r="A86" s="4"/>
      <c r="B86" s="2">
        <v>32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7">
        <v>0</v>
      </c>
    </row>
    <row r="87" spans="1:9" x14ac:dyDescent="0.25">
      <c r="A87" s="4"/>
      <c r="B87" s="2">
        <v>33</v>
      </c>
      <c r="C87" s="3">
        <v>16</v>
      </c>
      <c r="D87" s="3">
        <v>11</v>
      </c>
      <c r="E87" s="3">
        <v>0</v>
      </c>
      <c r="F87" s="3">
        <v>4</v>
      </c>
      <c r="G87" s="3">
        <v>0</v>
      </c>
      <c r="H87" s="3">
        <v>0</v>
      </c>
      <c r="I87" s="7">
        <v>31</v>
      </c>
    </row>
    <row r="88" spans="1:9" x14ac:dyDescent="0.25">
      <c r="A88" s="4"/>
      <c r="B88" s="2">
        <v>34</v>
      </c>
      <c r="C88" s="3">
        <v>0</v>
      </c>
      <c r="D88" s="3">
        <v>43</v>
      </c>
      <c r="E88" s="3">
        <v>18</v>
      </c>
      <c r="F88" s="3">
        <v>0</v>
      </c>
      <c r="G88" s="3">
        <v>0</v>
      </c>
      <c r="H88" s="3">
        <v>0</v>
      </c>
      <c r="I88" s="7">
        <v>61</v>
      </c>
    </row>
    <row r="89" spans="1:9" x14ac:dyDescent="0.25">
      <c r="A89" s="4"/>
      <c r="B89" s="2">
        <v>35</v>
      </c>
      <c r="C89" s="3">
        <v>0</v>
      </c>
      <c r="D89" s="3">
        <v>0</v>
      </c>
      <c r="E89" s="3">
        <v>0</v>
      </c>
      <c r="F89" s="3">
        <v>0</v>
      </c>
      <c r="G89" s="3">
        <v>8.5</v>
      </c>
      <c r="H89" s="3">
        <v>0</v>
      </c>
      <c r="I89" s="7">
        <v>8.5</v>
      </c>
    </row>
    <row r="90" spans="1:9" x14ac:dyDescent="0.25">
      <c r="A90" s="4"/>
      <c r="B90" s="2">
        <v>36</v>
      </c>
      <c r="C90" s="3">
        <v>25</v>
      </c>
      <c r="D90" s="3">
        <v>11.5</v>
      </c>
      <c r="E90" s="3">
        <v>1</v>
      </c>
      <c r="F90" s="3">
        <v>14</v>
      </c>
      <c r="G90" s="3">
        <v>3</v>
      </c>
      <c r="H90" s="3">
        <v>3</v>
      </c>
      <c r="I90" s="7">
        <v>57.5</v>
      </c>
    </row>
    <row r="91" spans="1:9" x14ac:dyDescent="0.25">
      <c r="A91" s="4"/>
      <c r="B91" s="2">
        <v>37</v>
      </c>
      <c r="C91" s="3">
        <v>6</v>
      </c>
      <c r="D91" s="3">
        <v>10</v>
      </c>
      <c r="E91" s="3">
        <v>0</v>
      </c>
      <c r="F91" s="3">
        <v>1</v>
      </c>
      <c r="G91" s="3">
        <v>5.5</v>
      </c>
      <c r="H91" s="3">
        <v>1</v>
      </c>
      <c r="I91" s="7">
        <v>23.5</v>
      </c>
    </row>
    <row r="92" spans="1:9" x14ac:dyDescent="0.25">
      <c r="A92" s="4"/>
      <c r="B92" s="2">
        <v>38</v>
      </c>
      <c r="C92" s="3">
        <v>0</v>
      </c>
      <c r="D92" s="3">
        <v>0</v>
      </c>
      <c r="E92" s="3">
        <v>8</v>
      </c>
      <c r="F92" s="3">
        <v>0</v>
      </c>
      <c r="G92" s="3">
        <v>0</v>
      </c>
      <c r="H92" s="3">
        <v>0</v>
      </c>
      <c r="I92" s="7">
        <v>8</v>
      </c>
    </row>
    <row r="93" spans="1:9" x14ac:dyDescent="0.25">
      <c r="A93" s="4"/>
      <c r="B93" s="2">
        <v>39</v>
      </c>
      <c r="C93" s="3">
        <v>0</v>
      </c>
      <c r="D93" s="3">
        <v>1</v>
      </c>
      <c r="E93" s="3">
        <v>0</v>
      </c>
      <c r="F93" s="3">
        <v>1</v>
      </c>
      <c r="G93" s="3">
        <v>5</v>
      </c>
      <c r="H93" s="3">
        <v>0</v>
      </c>
      <c r="I93" s="7">
        <v>7</v>
      </c>
    </row>
    <row r="94" spans="1:9" x14ac:dyDescent="0.25">
      <c r="A94" s="4"/>
      <c r="B94" s="2">
        <v>40</v>
      </c>
      <c r="C94" s="3">
        <v>3</v>
      </c>
      <c r="D94" s="3">
        <v>14</v>
      </c>
      <c r="E94" s="3">
        <v>24</v>
      </c>
      <c r="F94" s="3">
        <v>0</v>
      </c>
      <c r="G94" s="3">
        <v>0</v>
      </c>
      <c r="H94" s="3">
        <v>0</v>
      </c>
      <c r="I94" s="7">
        <v>41</v>
      </c>
    </row>
    <row r="95" spans="1:9" x14ac:dyDescent="0.25">
      <c r="A95" s="4"/>
      <c r="B95" s="2">
        <v>41</v>
      </c>
      <c r="C95" s="3">
        <v>8</v>
      </c>
      <c r="D95" s="3">
        <v>0</v>
      </c>
      <c r="E95" s="3">
        <v>8</v>
      </c>
      <c r="F95" s="3">
        <v>8</v>
      </c>
      <c r="G95" s="3">
        <v>55</v>
      </c>
      <c r="H95" s="3">
        <v>22</v>
      </c>
      <c r="I95" s="7">
        <v>101</v>
      </c>
    </row>
    <row r="96" spans="1:9" x14ac:dyDescent="0.25">
      <c r="A96" s="4"/>
      <c r="B96" s="2">
        <v>42</v>
      </c>
      <c r="C96" s="3">
        <v>52</v>
      </c>
      <c r="D96" s="3">
        <v>26</v>
      </c>
      <c r="E96" s="3">
        <v>4</v>
      </c>
      <c r="F96" s="3">
        <v>4</v>
      </c>
      <c r="G96" s="3">
        <v>0</v>
      </c>
      <c r="H96" s="3">
        <v>0</v>
      </c>
      <c r="I96" s="7">
        <v>86</v>
      </c>
    </row>
    <row r="97" spans="1:9" x14ac:dyDescent="0.25">
      <c r="A97" s="4"/>
      <c r="B97" s="2">
        <v>43</v>
      </c>
      <c r="C97" s="3">
        <v>0</v>
      </c>
      <c r="D97" s="3">
        <v>5</v>
      </c>
      <c r="E97" s="3">
        <v>0</v>
      </c>
      <c r="F97" s="3">
        <v>0</v>
      </c>
      <c r="G97" s="3">
        <v>0</v>
      </c>
      <c r="H97" s="3">
        <v>9.5</v>
      </c>
      <c r="I97" s="7">
        <v>14.5</v>
      </c>
    </row>
    <row r="98" spans="1:9" x14ac:dyDescent="0.25">
      <c r="A98" s="4"/>
      <c r="B98" s="2">
        <v>44</v>
      </c>
      <c r="C98" s="3">
        <v>5.5</v>
      </c>
      <c r="D98" s="3">
        <v>8</v>
      </c>
      <c r="E98" s="3">
        <v>2</v>
      </c>
      <c r="F98" s="3">
        <v>0</v>
      </c>
      <c r="G98" s="3">
        <v>20</v>
      </c>
      <c r="H98" s="3">
        <v>25</v>
      </c>
      <c r="I98" s="7">
        <v>60.5</v>
      </c>
    </row>
    <row r="99" spans="1:9" x14ac:dyDescent="0.25">
      <c r="A99" s="4"/>
      <c r="B99" s="2">
        <v>45</v>
      </c>
      <c r="C99" s="3">
        <v>37</v>
      </c>
      <c r="D99" s="3">
        <v>20</v>
      </c>
      <c r="E99" s="3">
        <v>0</v>
      </c>
      <c r="F99" s="3">
        <v>0</v>
      </c>
      <c r="G99" s="3">
        <v>0</v>
      </c>
      <c r="H99" s="3">
        <v>124</v>
      </c>
      <c r="I99" s="7">
        <v>181</v>
      </c>
    </row>
    <row r="100" spans="1:9" x14ac:dyDescent="0.25">
      <c r="A100" s="4"/>
      <c r="B100" s="2">
        <v>46</v>
      </c>
      <c r="C100" s="3">
        <v>0</v>
      </c>
      <c r="D100" s="3">
        <v>0</v>
      </c>
      <c r="E100" s="3">
        <v>2</v>
      </c>
      <c r="F100" s="3">
        <v>50</v>
      </c>
      <c r="G100" s="3">
        <v>0</v>
      </c>
      <c r="H100" s="3">
        <v>5</v>
      </c>
      <c r="I100" s="7">
        <v>57</v>
      </c>
    </row>
    <row r="101" spans="1:9" x14ac:dyDescent="0.25">
      <c r="A101" s="4"/>
      <c r="B101" s="2">
        <v>47</v>
      </c>
      <c r="C101" s="3">
        <v>28</v>
      </c>
      <c r="D101" s="3">
        <v>40.5</v>
      </c>
      <c r="E101" s="3">
        <v>10</v>
      </c>
      <c r="F101" s="3">
        <v>5</v>
      </c>
      <c r="G101" s="3">
        <v>45</v>
      </c>
      <c r="H101" s="3">
        <v>6</v>
      </c>
      <c r="I101" s="7">
        <v>134.5</v>
      </c>
    </row>
    <row r="102" spans="1:9" x14ac:dyDescent="0.25">
      <c r="A102" s="4"/>
      <c r="B102" s="2">
        <v>48</v>
      </c>
      <c r="C102" s="3">
        <v>15</v>
      </c>
      <c r="D102" s="3">
        <v>81</v>
      </c>
      <c r="E102" s="3">
        <v>71</v>
      </c>
      <c r="F102" s="3">
        <v>20</v>
      </c>
      <c r="G102" s="3">
        <v>29</v>
      </c>
      <c r="H102" s="3">
        <v>14</v>
      </c>
      <c r="I102" s="7">
        <v>230</v>
      </c>
    </row>
    <row r="103" spans="1:9" x14ac:dyDescent="0.25">
      <c r="A103" s="4"/>
      <c r="B103" s="2">
        <v>49</v>
      </c>
      <c r="C103" s="3">
        <v>0</v>
      </c>
      <c r="D103" s="3">
        <v>0</v>
      </c>
      <c r="E103" s="3">
        <v>0</v>
      </c>
      <c r="F103" s="3">
        <v>0.5</v>
      </c>
      <c r="G103" s="3">
        <v>0</v>
      </c>
      <c r="H103" s="3">
        <v>0</v>
      </c>
      <c r="I103" s="7">
        <v>0.5</v>
      </c>
    </row>
    <row r="104" spans="1:9" x14ac:dyDescent="0.25">
      <c r="A104" s="4"/>
      <c r="B104" s="2">
        <v>50</v>
      </c>
      <c r="C104" s="3">
        <v>0</v>
      </c>
      <c r="D104" s="3">
        <v>0</v>
      </c>
      <c r="E104" s="3">
        <v>29</v>
      </c>
      <c r="F104" s="3">
        <v>0</v>
      </c>
      <c r="G104" s="3">
        <v>3.5</v>
      </c>
      <c r="H104" s="3">
        <v>0</v>
      </c>
      <c r="I104" s="7">
        <v>32.5</v>
      </c>
    </row>
    <row r="105" spans="1:9" x14ac:dyDescent="0.25">
      <c r="A105" s="4"/>
      <c r="B105" s="2">
        <v>51</v>
      </c>
      <c r="C105" s="3">
        <v>109</v>
      </c>
      <c r="D105" s="3">
        <v>12</v>
      </c>
      <c r="E105" s="3">
        <v>0</v>
      </c>
      <c r="F105" s="3">
        <v>0</v>
      </c>
      <c r="G105" s="3">
        <v>0</v>
      </c>
      <c r="H105" s="3">
        <v>0</v>
      </c>
      <c r="I105" s="7">
        <v>121</v>
      </c>
    </row>
    <row r="106" spans="1:9" x14ac:dyDescent="0.25">
      <c r="A106" s="4"/>
      <c r="B106" s="2">
        <v>52</v>
      </c>
      <c r="C106" s="3">
        <v>23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7">
        <v>23</v>
      </c>
    </row>
    <row r="107" spans="1:9" x14ac:dyDescent="0.25">
      <c r="A107" s="2">
        <v>2025</v>
      </c>
      <c r="B107" s="2">
        <v>1</v>
      </c>
      <c r="C107" s="3"/>
      <c r="D107" s="3">
        <v>20</v>
      </c>
      <c r="E107" s="3">
        <v>1</v>
      </c>
      <c r="F107" s="3">
        <v>33</v>
      </c>
      <c r="G107" s="3">
        <v>0</v>
      </c>
      <c r="H107" s="3">
        <v>0</v>
      </c>
      <c r="I107" s="7">
        <v>54</v>
      </c>
    </row>
    <row r="108" spans="1:9" x14ac:dyDescent="0.25">
      <c r="A108" s="4"/>
      <c r="B108" s="2">
        <v>2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7">
        <v>0</v>
      </c>
    </row>
    <row r="109" spans="1:9" x14ac:dyDescent="0.25">
      <c r="A109" s="4"/>
      <c r="B109" s="2">
        <v>3</v>
      </c>
      <c r="C109" s="3">
        <v>0</v>
      </c>
      <c r="D109" s="3">
        <v>0</v>
      </c>
      <c r="E109" s="3">
        <v>54</v>
      </c>
      <c r="F109" s="3">
        <v>0</v>
      </c>
      <c r="G109" s="3">
        <v>20</v>
      </c>
      <c r="H109" s="3">
        <v>0</v>
      </c>
      <c r="I109" s="7">
        <v>74</v>
      </c>
    </row>
    <row r="110" spans="1:9" x14ac:dyDescent="0.25">
      <c r="A110" s="4"/>
      <c r="B110" s="2">
        <v>4</v>
      </c>
      <c r="C110" s="3">
        <v>49</v>
      </c>
      <c r="D110" s="3">
        <v>1</v>
      </c>
      <c r="E110" s="3">
        <v>2.5</v>
      </c>
      <c r="F110" s="3">
        <v>0</v>
      </c>
      <c r="G110" s="3">
        <v>0</v>
      </c>
      <c r="H110" s="3">
        <v>38</v>
      </c>
      <c r="I110" s="7">
        <v>90.5</v>
      </c>
    </row>
    <row r="111" spans="1:9" x14ac:dyDescent="0.25">
      <c r="A111" s="4"/>
      <c r="B111" s="2">
        <v>5</v>
      </c>
      <c r="C111" s="3">
        <v>0</v>
      </c>
      <c r="D111" s="3">
        <v>0</v>
      </c>
      <c r="E111" s="3">
        <v>0</v>
      </c>
      <c r="F111" s="3">
        <v>18</v>
      </c>
      <c r="G111" s="3">
        <v>0</v>
      </c>
      <c r="H111" s="3">
        <v>9</v>
      </c>
      <c r="I111" s="7">
        <v>27</v>
      </c>
    </row>
    <row r="112" spans="1:9" x14ac:dyDescent="0.25">
      <c r="A112" s="4"/>
      <c r="B112" s="2">
        <v>6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7">
        <v>0</v>
      </c>
    </row>
    <row r="113" spans="1:9" x14ac:dyDescent="0.25">
      <c r="A113" s="4"/>
      <c r="B113" s="2">
        <v>7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7">
        <v>0</v>
      </c>
    </row>
    <row r="114" spans="1:9" x14ac:dyDescent="0.25">
      <c r="A114" s="4"/>
      <c r="B114" s="2">
        <v>8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7">
        <v>0</v>
      </c>
    </row>
    <row r="115" spans="1:9" x14ac:dyDescent="0.25">
      <c r="A115" s="4"/>
      <c r="B115" s="2">
        <v>9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7">
        <v>0</v>
      </c>
    </row>
    <row r="116" spans="1:9" x14ac:dyDescent="0.25">
      <c r="A116" s="4"/>
      <c r="B116" s="2">
        <v>10</v>
      </c>
      <c r="C116" s="3">
        <v>57</v>
      </c>
      <c r="D116" s="3">
        <v>0</v>
      </c>
      <c r="E116" s="3">
        <v>0</v>
      </c>
      <c r="F116" s="3">
        <v>0</v>
      </c>
      <c r="G116" s="3">
        <v>0</v>
      </c>
      <c r="H116" s="3">
        <v>15</v>
      </c>
      <c r="I116" s="7">
        <v>72</v>
      </c>
    </row>
    <row r="117" spans="1:9" x14ac:dyDescent="0.25">
      <c r="A117" s="4"/>
      <c r="B117" s="2">
        <v>11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7">
        <v>0</v>
      </c>
    </row>
    <row r="118" spans="1:9" x14ac:dyDescent="0.25">
      <c r="A118" s="4"/>
      <c r="B118" s="2">
        <v>12</v>
      </c>
      <c r="C118" s="3">
        <v>2.5</v>
      </c>
      <c r="D118" s="3">
        <v>0</v>
      </c>
      <c r="E118" s="3">
        <v>0</v>
      </c>
      <c r="F118" s="3">
        <v>34</v>
      </c>
      <c r="G118" s="3">
        <v>0</v>
      </c>
      <c r="H118" s="3">
        <v>0</v>
      </c>
      <c r="I118" s="7">
        <v>36.5</v>
      </c>
    </row>
    <row r="119" spans="1:9" x14ac:dyDescent="0.25">
      <c r="A119" s="4"/>
      <c r="B119" s="2">
        <v>13</v>
      </c>
      <c r="C119" s="3">
        <v>6</v>
      </c>
      <c r="D119" s="3">
        <v>0</v>
      </c>
      <c r="E119" s="3">
        <v>0</v>
      </c>
      <c r="F119" s="3">
        <v>21.5</v>
      </c>
      <c r="G119" s="3">
        <v>0</v>
      </c>
      <c r="H119" s="3">
        <v>0</v>
      </c>
      <c r="I119" s="7">
        <v>27.5</v>
      </c>
    </row>
    <row r="120" spans="1:9" x14ac:dyDescent="0.25">
      <c r="A120" s="4"/>
      <c r="B120" s="2">
        <v>14</v>
      </c>
      <c r="C120" s="3">
        <v>0</v>
      </c>
      <c r="D120" s="3">
        <v>0</v>
      </c>
      <c r="E120" s="3">
        <v>0</v>
      </c>
      <c r="F120" s="3">
        <v>27</v>
      </c>
      <c r="G120" s="3">
        <v>0</v>
      </c>
      <c r="H120" s="3">
        <v>0</v>
      </c>
      <c r="I120" s="7">
        <v>27</v>
      </c>
    </row>
    <row r="121" spans="1:9" x14ac:dyDescent="0.25">
      <c r="A121" s="4"/>
      <c r="B121" s="2">
        <v>15</v>
      </c>
      <c r="C121" s="3">
        <v>58</v>
      </c>
      <c r="D121" s="3">
        <v>9</v>
      </c>
      <c r="E121" s="3">
        <v>0</v>
      </c>
      <c r="F121" s="3">
        <v>8</v>
      </c>
      <c r="G121" s="3">
        <v>0</v>
      </c>
      <c r="H121" s="3">
        <v>0</v>
      </c>
      <c r="I121" s="7">
        <v>75</v>
      </c>
    </row>
    <row r="122" spans="1:9" x14ac:dyDescent="0.25">
      <c r="A122" s="4"/>
      <c r="B122" s="2">
        <v>16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7">
        <v>0</v>
      </c>
    </row>
    <row r="123" spans="1:9" x14ac:dyDescent="0.25">
      <c r="A123" s="4"/>
      <c r="B123" s="2">
        <v>17</v>
      </c>
      <c r="C123" s="3">
        <v>0</v>
      </c>
      <c r="D123" s="3">
        <v>3</v>
      </c>
      <c r="E123" s="3">
        <v>0</v>
      </c>
      <c r="F123" s="3">
        <v>0</v>
      </c>
      <c r="G123" s="3">
        <v>0</v>
      </c>
      <c r="H123" s="3">
        <v>0</v>
      </c>
      <c r="I123" s="7">
        <v>3</v>
      </c>
    </row>
    <row r="124" spans="1:9" x14ac:dyDescent="0.25">
      <c r="A124" s="4"/>
      <c r="B124" s="2">
        <v>18</v>
      </c>
      <c r="C124" s="3">
        <v>0</v>
      </c>
      <c r="D124" s="3">
        <v>90</v>
      </c>
      <c r="E124" s="3">
        <v>0</v>
      </c>
      <c r="F124" s="3">
        <v>0</v>
      </c>
      <c r="G124" s="3">
        <v>12</v>
      </c>
      <c r="H124" s="3">
        <v>3</v>
      </c>
      <c r="I124" s="7">
        <v>105</v>
      </c>
    </row>
    <row r="125" spans="1:9" x14ac:dyDescent="0.25">
      <c r="A125" s="4"/>
      <c r="B125" s="2">
        <v>19</v>
      </c>
      <c r="C125" s="3">
        <v>0</v>
      </c>
      <c r="D125" s="3">
        <v>0</v>
      </c>
      <c r="E125" s="3">
        <v>0</v>
      </c>
      <c r="F125" s="3">
        <v>8</v>
      </c>
      <c r="G125" s="3">
        <v>0</v>
      </c>
      <c r="H125" s="3">
        <v>0</v>
      </c>
      <c r="I125" s="7">
        <v>8</v>
      </c>
    </row>
    <row r="126" spans="1:9" x14ac:dyDescent="0.25">
      <c r="A126" s="4"/>
      <c r="B126" s="2">
        <v>20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7">
        <v>0</v>
      </c>
    </row>
    <row r="127" spans="1:9" x14ac:dyDescent="0.25">
      <c r="A127" s="4"/>
      <c r="B127" s="2">
        <v>21</v>
      </c>
      <c r="C127" s="3">
        <v>65</v>
      </c>
      <c r="D127" s="3">
        <v>56</v>
      </c>
      <c r="E127" s="3">
        <v>0</v>
      </c>
      <c r="F127" s="3">
        <v>1</v>
      </c>
      <c r="G127" s="3">
        <v>0</v>
      </c>
      <c r="H127" s="3">
        <v>9</v>
      </c>
      <c r="I127" s="7">
        <v>131</v>
      </c>
    </row>
    <row r="128" spans="1:9" x14ac:dyDescent="0.25">
      <c r="A128" s="4"/>
      <c r="B128" s="2">
        <v>22</v>
      </c>
      <c r="C128" s="3">
        <v>0</v>
      </c>
      <c r="D128" s="3">
        <v>68</v>
      </c>
      <c r="E128" s="3">
        <v>9</v>
      </c>
      <c r="F128" s="3">
        <v>1</v>
      </c>
      <c r="G128" s="3">
        <v>0</v>
      </c>
      <c r="H128" s="3">
        <v>0</v>
      </c>
      <c r="I128" s="7">
        <v>78</v>
      </c>
    </row>
    <row r="129" spans="1:9" x14ac:dyDescent="0.25">
      <c r="A129" s="4"/>
      <c r="B129" s="2">
        <v>23</v>
      </c>
      <c r="C129" s="3">
        <v>0</v>
      </c>
      <c r="D129" s="3">
        <v>15</v>
      </c>
      <c r="E129" s="3">
        <v>0</v>
      </c>
      <c r="F129" s="3">
        <v>0</v>
      </c>
      <c r="G129" s="3">
        <v>0</v>
      </c>
      <c r="H129" s="3">
        <v>7</v>
      </c>
      <c r="I129" s="7">
        <v>22</v>
      </c>
    </row>
    <row r="130" spans="1:9" x14ac:dyDescent="0.25">
      <c r="A130" s="4"/>
      <c r="B130" s="2">
        <v>24</v>
      </c>
      <c r="C130" s="3">
        <v>0</v>
      </c>
      <c r="D130" s="3">
        <v>0</v>
      </c>
      <c r="E130" s="3">
        <v>0</v>
      </c>
      <c r="F130" s="3">
        <v>52</v>
      </c>
      <c r="G130" s="3">
        <v>4</v>
      </c>
      <c r="H130" s="3">
        <v>0</v>
      </c>
      <c r="I130" s="7">
        <v>56</v>
      </c>
    </row>
    <row r="131" spans="1:9" x14ac:dyDescent="0.25">
      <c r="A131" s="4"/>
      <c r="B131" s="2">
        <v>25</v>
      </c>
      <c r="C131" s="3">
        <v>60</v>
      </c>
      <c r="D131" s="3">
        <v>5</v>
      </c>
      <c r="E131" s="3">
        <v>0</v>
      </c>
      <c r="F131" s="3">
        <v>0</v>
      </c>
      <c r="G131" s="3">
        <v>10</v>
      </c>
      <c r="H131" s="3">
        <v>0</v>
      </c>
      <c r="I131" s="7">
        <v>75</v>
      </c>
    </row>
    <row r="132" spans="1:9" x14ac:dyDescent="0.25">
      <c r="A132" s="4"/>
      <c r="B132" s="2">
        <v>26</v>
      </c>
      <c r="C132" s="3">
        <v>0</v>
      </c>
      <c r="D132" s="3">
        <v>0</v>
      </c>
      <c r="E132" s="3">
        <v>22</v>
      </c>
      <c r="F132" s="3">
        <v>0</v>
      </c>
      <c r="G132" s="3">
        <v>8</v>
      </c>
      <c r="H132" s="3">
        <v>4</v>
      </c>
      <c r="I132" s="7">
        <v>34</v>
      </c>
    </row>
    <row r="133" spans="1:9" x14ac:dyDescent="0.25">
      <c r="A133" s="4"/>
      <c r="B133" s="2">
        <v>27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7">
        <v>0</v>
      </c>
    </row>
    <row r="134" spans="1:9" x14ac:dyDescent="0.25">
      <c r="A134" s="4"/>
      <c r="B134" s="2">
        <v>28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7">
        <v>0</v>
      </c>
    </row>
    <row r="135" spans="1:9" x14ac:dyDescent="0.25">
      <c r="A135" s="4"/>
      <c r="B135" s="2">
        <v>29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7">
        <v>0</v>
      </c>
    </row>
    <row r="136" spans="1:9" x14ac:dyDescent="0.25">
      <c r="A136" s="4"/>
      <c r="B136" s="2">
        <v>30</v>
      </c>
      <c r="C136" s="3">
        <v>5</v>
      </c>
      <c r="D136" s="3">
        <v>17</v>
      </c>
      <c r="E136" s="3">
        <v>13</v>
      </c>
      <c r="F136" s="3">
        <v>3</v>
      </c>
      <c r="G136" s="3">
        <v>0</v>
      </c>
      <c r="H136" s="3">
        <v>20</v>
      </c>
      <c r="I136" s="7">
        <v>58</v>
      </c>
    </row>
    <row r="137" spans="1:9" x14ac:dyDescent="0.25">
      <c r="A137" s="4"/>
      <c r="B137" s="2">
        <v>31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7">
        <v>0</v>
      </c>
    </row>
    <row r="138" spans="1:9" x14ac:dyDescent="0.25">
      <c r="A138" s="4"/>
      <c r="B138" s="2">
        <v>32</v>
      </c>
      <c r="C138" s="3">
        <v>34</v>
      </c>
      <c r="D138" s="3">
        <v>9</v>
      </c>
      <c r="E138" s="3">
        <v>0</v>
      </c>
      <c r="F138" s="3">
        <v>0</v>
      </c>
      <c r="G138" s="3">
        <v>0</v>
      </c>
      <c r="H138" s="3">
        <v>0</v>
      </c>
      <c r="I138" s="7">
        <v>43</v>
      </c>
    </row>
    <row r="139" spans="1:9" x14ac:dyDescent="0.25">
      <c r="A139" s="4"/>
      <c r="B139" s="2">
        <v>33</v>
      </c>
      <c r="C139" s="3">
        <v>13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7">
        <v>13</v>
      </c>
    </row>
    <row r="140" spans="1:9" x14ac:dyDescent="0.25">
      <c r="A140" s="4"/>
      <c r="B140" s="2">
        <v>34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7">
        <v>0</v>
      </c>
    </row>
    <row r="141" spans="1:9" x14ac:dyDescent="0.25">
      <c r="A141" s="4"/>
      <c r="B141" s="2">
        <v>35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3</v>
      </c>
      <c r="I141" s="7">
        <v>3</v>
      </c>
    </row>
    <row r="142" spans="1:9" x14ac:dyDescent="0.25">
      <c r="A142" s="4"/>
      <c r="B142" s="2">
        <v>36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7">
        <v>0</v>
      </c>
    </row>
    <row r="143" spans="1:9" x14ac:dyDescent="0.25">
      <c r="A143" s="4"/>
      <c r="B143" s="2">
        <v>37</v>
      </c>
      <c r="C143" s="3">
        <v>0</v>
      </c>
      <c r="D143" s="3">
        <v>58</v>
      </c>
      <c r="E143" s="3">
        <v>2</v>
      </c>
      <c r="F143" s="3">
        <v>0</v>
      </c>
      <c r="G143" s="3">
        <v>0</v>
      </c>
      <c r="H143" s="3">
        <v>0</v>
      </c>
      <c r="I143" s="7">
        <v>60</v>
      </c>
    </row>
    <row r="144" spans="1:9" x14ac:dyDescent="0.25">
      <c r="A144" s="4"/>
      <c r="B144" s="2">
        <v>38</v>
      </c>
      <c r="C144" s="3">
        <v>0</v>
      </c>
      <c r="D144" s="3">
        <v>0</v>
      </c>
      <c r="E144" s="3">
        <v>27</v>
      </c>
      <c r="F144" s="3">
        <v>0</v>
      </c>
      <c r="G144" s="3">
        <v>0</v>
      </c>
      <c r="H144" s="3">
        <v>0</v>
      </c>
      <c r="I144" s="7">
        <v>27</v>
      </c>
    </row>
    <row r="145" spans="1:9" x14ac:dyDescent="0.25">
      <c r="A145" s="4"/>
      <c r="B145" s="2">
        <v>39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7">
        <v>0</v>
      </c>
    </row>
    <row r="146" spans="1:9" x14ac:dyDescent="0.25">
      <c r="A146" s="4"/>
      <c r="B146" s="2">
        <v>40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7">
        <v>0</v>
      </c>
    </row>
    <row r="147" spans="1:9" x14ac:dyDescent="0.25">
      <c r="A147" s="4"/>
      <c r="B147" s="2">
        <v>41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7">
        <v>0</v>
      </c>
    </row>
    <row r="148" spans="1:9" x14ac:dyDescent="0.25">
      <c r="A148" s="4"/>
      <c r="B148" s="2">
        <v>42</v>
      </c>
      <c r="C148" s="3">
        <v>89</v>
      </c>
      <c r="D148" s="3">
        <v>86</v>
      </c>
      <c r="E148" s="3">
        <v>92</v>
      </c>
      <c r="F148" s="3">
        <v>27</v>
      </c>
      <c r="G148" s="3">
        <v>49</v>
      </c>
      <c r="H148" s="3">
        <v>46</v>
      </c>
      <c r="I148" s="7">
        <v>389</v>
      </c>
    </row>
    <row r="149" spans="1:9" x14ac:dyDescent="0.25">
      <c r="A149" s="4"/>
      <c r="B149" s="2">
        <v>43</v>
      </c>
      <c r="C149" s="3">
        <v>137</v>
      </c>
      <c r="D149" s="3">
        <v>47</v>
      </c>
      <c r="E149" s="3">
        <v>16</v>
      </c>
      <c r="F149" s="3">
        <v>27</v>
      </c>
      <c r="G149" s="3">
        <v>20</v>
      </c>
      <c r="H149" s="3">
        <v>0</v>
      </c>
      <c r="I149" s="7">
        <v>247</v>
      </c>
    </row>
    <row r="150" spans="1:9" x14ac:dyDescent="0.25">
      <c r="A150" s="4"/>
      <c r="B150" s="2">
        <v>44</v>
      </c>
      <c r="C150" s="3">
        <v>3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7">
        <v>3</v>
      </c>
    </row>
    <row r="151" spans="1:9" x14ac:dyDescent="0.25">
      <c r="A151" s="4"/>
      <c r="B151" s="2">
        <v>45</v>
      </c>
      <c r="C151" s="3">
        <v>0</v>
      </c>
      <c r="D151" s="3">
        <v>0</v>
      </c>
      <c r="E151" s="3">
        <v>0</v>
      </c>
      <c r="F151" s="3">
        <v>12</v>
      </c>
      <c r="G151" s="3">
        <v>19</v>
      </c>
      <c r="H151" s="3">
        <v>0</v>
      </c>
      <c r="I151" s="7">
        <v>31</v>
      </c>
    </row>
    <row r="152" spans="1:9" x14ac:dyDescent="0.25">
      <c r="A152" s="4"/>
      <c r="B152" s="2">
        <v>46</v>
      </c>
      <c r="C152" s="3">
        <v>35</v>
      </c>
      <c r="D152" s="3">
        <v>1</v>
      </c>
      <c r="E152" s="3">
        <v>0</v>
      </c>
      <c r="F152" s="3">
        <v>0</v>
      </c>
      <c r="G152" s="3">
        <v>0</v>
      </c>
      <c r="H152" s="3">
        <v>0</v>
      </c>
      <c r="I152" s="7">
        <v>36</v>
      </c>
    </row>
    <row r="153" spans="1:9" x14ac:dyDescent="0.25">
      <c r="A153" s="4"/>
      <c r="B153" s="2">
        <v>47</v>
      </c>
      <c r="C153" s="3">
        <v>0</v>
      </c>
      <c r="D153" s="3">
        <v>112</v>
      </c>
      <c r="E153" s="3">
        <v>0</v>
      </c>
      <c r="F153" s="3">
        <v>0</v>
      </c>
      <c r="G153" s="3">
        <v>0</v>
      </c>
      <c r="H153" s="3">
        <v>0</v>
      </c>
      <c r="I153" s="7">
        <v>112</v>
      </c>
    </row>
    <row r="154" spans="1:9" x14ac:dyDescent="0.25">
      <c r="A154" s="4"/>
      <c r="B154" s="2">
        <v>48</v>
      </c>
      <c r="C154" s="3">
        <v>0</v>
      </c>
      <c r="D154" s="3">
        <v>0</v>
      </c>
      <c r="E154" s="3">
        <v>38</v>
      </c>
      <c r="F154" s="3">
        <v>107</v>
      </c>
      <c r="G154" s="3">
        <v>197</v>
      </c>
      <c r="H154" s="3">
        <v>188</v>
      </c>
      <c r="I154" s="7">
        <v>530</v>
      </c>
    </row>
    <row r="155" spans="1:9" x14ac:dyDescent="0.25">
      <c r="A155" s="4"/>
      <c r="B155" s="2">
        <v>49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7">
        <v>0</v>
      </c>
    </row>
    <row r="156" spans="1:9" x14ac:dyDescent="0.25">
      <c r="A156" s="4"/>
      <c r="B156" s="2">
        <v>50</v>
      </c>
      <c r="C156" s="3">
        <v>12</v>
      </c>
      <c r="D156" s="3">
        <v>0</v>
      </c>
      <c r="E156" s="3">
        <v>0</v>
      </c>
      <c r="F156" s="3">
        <v>0</v>
      </c>
      <c r="G156" s="3">
        <v>0</v>
      </c>
      <c r="H156" s="3">
        <v>3</v>
      </c>
      <c r="I156" s="7">
        <v>15</v>
      </c>
    </row>
    <row r="157" spans="1:9" x14ac:dyDescent="0.25">
      <c r="A157" s="4"/>
      <c r="B157" s="2">
        <v>51</v>
      </c>
      <c r="C157" s="3">
        <v>0</v>
      </c>
      <c r="D157" s="3">
        <v>0</v>
      </c>
      <c r="E157" s="3">
        <v>0</v>
      </c>
      <c r="F157" s="3">
        <v>20</v>
      </c>
      <c r="G157" s="3"/>
      <c r="H157" s="3"/>
      <c r="I157" s="7">
        <v>20</v>
      </c>
    </row>
    <row r="158" spans="1:9" x14ac:dyDescent="0.25">
      <c r="A158" s="4"/>
      <c r="B158" s="2">
        <v>52</v>
      </c>
      <c r="C158" s="3"/>
      <c r="D158" s="3"/>
      <c r="E158" s="3"/>
      <c r="F158" s="3"/>
      <c r="G158" s="3"/>
      <c r="H158" s="3"/>
      <c r="I158" s="7">
        <v>0</v>
      </c>
    </row>
    <row r="159" spans="1:9" x14ac:dyDescent="0.25">
      <c r="A159" s="16">
        <v>2026</v>
      </c>
      <c r="B159" s="2">
        <v>1</v>
      </c>
      <c r="C159" s="3">
        <v>7</v>
      </c>
      <c r="D159" s="3">
        <v>0</v>
      </c>
      <c r="E159" s="3">
        <v>0</v>
      </c>
      <c r="F159" s="3">
        <v>0</v>
      </c>
      <c r="G159" s="3">
        <v>0</v>
      </c>
      <c r="H159" s="3">
        <v>3</v>
      </c>
      <c r="I159" s="7">
        <v>10</v>
      </c>
    </row>
    <row r="160" spans="1:9" x14ac:dyDescent="0.25">
      <c r="A160" s="4"/>
      <c r="B160" s="2">
        <v>2</v>
      </c>
      <c r="C160" s="3">
        <v>0</v>
      </c>
      <c r="D160" s="3">
        <v>3</v>
      </c>
      <c r="E160" s="3">
        <v>1</v>
      </c>
      <c r="F160" s="3">
        <v>6</v>
      </c>
      <c r="G160" s="3">
        <v>0</v>
      </c>
      <c r="H160" s="3">
        <v>13</v>
      </c>
      <c r="I160" s="7">
        <v>23</v>
      </c>
    </row>
    <row r="161" spans="1:9" x14ac:dyDescent="0.25">
      <c r="A161" s="4"/>
      <c r="B161" s="2">
        <v>3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7">
        <v>0</v>
      </c>
    </row>
    <row r="162" spans="1:9" x14ac:dyDescent="0.25">
      <c r="A162" s="4"/>
      <c r="B162" s="2">
        <v>4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7">
        <v>0</v>
      </c>
    </row>
    <row r="163" spans="1:9" x14ac:dyDescent="0.25">
      <c r="A163" s="4"/>
      <c r="B163" s="2">
        <v>5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7">
        <v>0</v>
      </c>
    </row>
    <row r="164" spans="1:9" x14ac:dyDescent="0.25">
      <c r="A164" s="4"/>
      <c r="B164" s="2">
        <v>6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7">
        <v>0</v>
      </c>
    </row>
    <row r="165" spans="1:9" x14ac:dyDescent="0.25">
      <c r="A165" s="4"/>
      <c r="B165" s="2">
        <v>7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7">
        <v>0</v>
      </c>
    </row>
    <row r="166" spans="1:9" x14ac:dyDescent="0.25">
      <c r="A166" s="4"/>
      <c r="B166" s="2">
        <v>8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7">
        <v>0</v>
      </c>
    </row>
    <row r="167" spans="1:9" x14ac:dyDescent="0.25">
      <c r="A167" s="4"/>
      <c r="B167" s="2">
        <v>9</v>
      </c>
      <c r="C167" s="3">
        <v>36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7">
        <v>0</v>
      </c>
    </row>
    <row r="168" spans="1:9" x14ac:dyDescent="0.25">
      <c r="A168" s="4"/>
      <c r="B168" s="2">
        <v>10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7">
        <v>0</v>
      </c>
    </row>
    <row r="169" spans="1:9" x14ac:dyDescent="0.25">
      <c r="A169" s="4"/>
      <c r="B169" s="2">
        <v>11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48</v>
      </c>
      <c r="I169" s="7">
        <v>48</v>
      </c>
    </row>
    <row r="170" spans="1:9" x14ac:dyDescent="0.25">
      <c r="A170" s="4"/>
      <c r="B170" s="2">
        <v>12</v>
      </c>
      <c r="C170" s="3">
        <v>0</v>
      </c>
      <c r="D170" s="3">
        <v>0</v>
      </c>
      <c r="E170" s="3">
        <v>0</v>
      </c>
      <c r="F170" s="3">
        <v>0</v>
      </c>
      <c r="G170" s="3">
        <v>37</v>
      </c>
      <c r="H170" s="3">
        <v>5</v>
      </c>
      <c r="I170" s="7">
        <v>42</v>
      </c>
    </row>
    <row r="171" spans="1:9" x14ac:dyDescent="0.25">
      <c r="A171" s="4"/>
      <c r="B171" s="2">
        <v>13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7">
        <v>0</v>
      </c>
    </row>
    <row r="172" spans="1:9" x14ac:dyDescent="0.25">
      <c r="A172" s="4"/>
      <c r="B172" s="2">
        <v>14</v>
      </c>
      <c r="C172" s="3">
        <v>0</v>
      </c>
      <c r="D172" s="3">
        <v>0</v>
      </c>
      <c r="E172" s="3">
        <v>0</v>
      </c>
      <c r="F172" s="3">
        <v>15</v>
      </c>
      <c r="G172" s="3">
        <v>1</v>
      </c>
      <c r="H172" s="3">
        <v>0</v>
      </c>
      <c r="I172" s="7">
        <v>16</v>
      </c>
    </row>
    <row r="173" spans="1:9" x14ac:dyDescent="0.25">
      <c r="A173" s="4"/>
      <c r="B173" s="2">
        <v>15</v>
      </c>
      <c r="C173" s="3">
        <v>9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7">
        <v>0</v>
      </c>
    </row>
    <row r="174" spans="1:9" x14ac:dyDescent="0.25">
      <c r="A174" s="4"/>
      <c r="B174" s="2">
        <v>16</v>
      </c>
      <c r="C174" s="3">
        <v>64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7">
        <v>0</v>
      </c>
    </row>
    <row r="175" spans="1:9" x14ac:dyDescent="0.25">
      <c r="A175" s="4"/>
      <c r="B175" s="2">
        <v>17</v>
      </c>
      <c r="C175" s="3">
        <v>44</v>
      </c>
      <c r="D175" s="3">
        <v>9</v>
      </c>
      <c r="E175" s="3">
        <v>0</v>
      </c>
      <c r="F175" s="3">
        <v>11</v>
      </c>
      <c r="G175" s="3">
        <v>0</v>
      </c>
      <c r="H175" s="3">
        <v>0</v>
      </c>
      <c r="I175" s="7">
        <v>64</v>
      </c>
    </row>
    <row r="176" spans="1:9" x14ac:dyDescent="0.25">
      <c r="A176" s="4"/>
      <c r="B176" s="2">
        <v>18</v>
      </c>
      <c r="C176" s="3">
        <v>37</v>
      </c>
      <c r="D176" s="3">
        <v>0</v>
      </c>
      <c r="E176" s="3">
        <v>6</v>
      </c>
      <c r="F176" s="3">
        <v>72</v>
      </c>
      <c r="G176" s="3">
        <v>0</v>
      </c>
      <c r="H176" s="3">
        <v>0</v>
      </c>
      <c r="I176" s="7">
        <v>115</v>
      </c>
    </row>
    <row r="177" spans="1:9" x14ac:dyDescent="0.25">
      <c r="A177" s="4"/>
      <c r="B177" s="2">
        <v>19</v>
      </c>
      <c r="C177" s="3">
        <v>0</v>
      </c>
      <c r="D177" s="3">
        <v>0</v>
      </c>
      <c r="E177" s="3">
        <v>6</v>
      </c>
      <c r="F177" s="3">
        <v>27</v>
      </c>
      <c r="G177" s="3">
        <v>63</v>
      </c>
      <c r="H177" s="3">
        <v>8</v>
      </c>
      <c r="I177" s="7">
        <v>104</v>
      </c>
    </row>
    <row r="178" spans="1:9" x14ac:dyDescent="0.25">
      <c r="A178" s="4"/>
      <c r="B178" s="2">
        <v>20</v>
      </c>
      <c r="C178" s="3">
        <v>11</v>
      </c>
      <c r="D178" s="3">
        <v>12</v>
      </c>
      <c r="E178" s="3">
        <v>43</v>
      </c>
      <c r="F178" s="3">
        <v>18</v>
      </c>
      <c r="G178" s="3">
        <v>6</v>
      </c>
      <c r="H178" s="3">
        <v>0</v>
      </c>
      <c r="I178" s="7">
        <v>90</v>
      </c>
    </row>
    <row r="179" spans="1:9" x14ac:dyDescent="0.25">
      <c r="A179" s="4"/>
      <c r="B179" s="2">
        <v>21</v>
      </c>
      <c r="C179" s="3">
        <v>12</v>
      </c>
      <c r="D179" s="3">
        <v>5</v>
      </c>
      <c r="E179" s="3">
        <v>8</v>
      </c>
      <c r="F179" s="3">
        <v>0</v>
      </c>
      <c r="G179" s="3">
        <v>0</v>
      </c>
      <c r="H179" s="3">
        <v>12</v>
      </c>
      <c r="I179" s="7">
        <v>37</v>
      </c>
    </row>
    <row r="180" spans="1:9" x14ac:dyDescent="0.25">
      <c r="A180" s="4"/>
      <c r="B180" s="2">
        <v>22</v>
      </c>
      <c r="C180" s="3">
        <v>17</v>
      </c>
      <c r="D180" s="3">
        <v>2</v>
      </c>
      <c r="E180" s="3">
        <v>1</v>
      </c>
      <c r="F180" s="3">
        <v>0</v>
      </c>
      <c r="G180" s="3">
        <v>0</v>
      </c>
      <c r="H180" s="3">
        <v>0</v>
      </c>
      <c r="I180" s="7">
        <v>20</v>
      </c>
    </row>
    <row r="181" spans="1:9" x14ac:dyDescent="0.25">
      <c r="A181" s="4"/>
      <c r="B181" s="2">
        <v>23</v>
      </c>
      <c r="C181" s="3">
        <v>0</v>
      </c>
      <c r="D181" s="3">
        <v>0</v>
      </c>
      <c r="E181" s="3">
        <v>0</v>
      </c>
      <c r="F181" s="3">
        <v>17</v>
      </c>
      <c r="G181" s="3">
        <v>24</v>
      </c>
      <c r="H181" s="3">
        <v>7</v>
      </c>
      <c r="I181" s="7">
        <v>48</v>
      </c>
    </row>
    <row r="182" spans="1:9" x14ac:dyDescent="0.25">
      <c r="A182" s="4"/>
      <c r="B182" s="2">
        <v>24</v>
      </c>
      <c r="C182" s="3">
        <v>9</v>
      </c>
      <c r="D182" s="3">
        <v>11</v>
      </c>
      <c r="E182" s="3">
        <v>0</v>
      </c>
      <c r="F182" s="3">
        <v>5</v>
      </c>
      <c r="G182" s="3">
        <v>24</v>
      </c>
      <c r="H182" s="3">
        <v>9</v>
      </c>
      <c r="I182" s="7">
        <v>58</v>
      </c>
    </row>
    <row r="183" spans="1:9" x14ac:dyDescent="0.25">
      <c r="A183" s="4"/>
      <c r="B183" s="2">
        <v>25</v>
      </c>
      <c r="C183" s="3">
        <v>0</v>
      </c>
      <c r="D183" s="3">
        <v>0</v>
      </c>
      <c r="E183" s="3">
        <v>0</v>
      </c>
      <c r="F183" s="3">
        <v>26</v>
      </c>
      <c r="G183" s="3">
        <v>0</v>
      </c>
      <c r="H183" s="3">
        <v>0</v>
      </c>
      <c r="I183" s="3">
        <v>26</v>
      </c>
    </row>
    <row r="184" spans="1:9" x14ac:dyDescent="0.25">
      <c r="A184" s="4"/>
      <c r="B184" s="2">
        <v>26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</row>
    <row r="185" spans="1:9" x14ac:dyDescent="0.25">
      <c r="A185" s="4"/>
      <c r="B185" s="2">
        <v>27</v>
      </c>
      <c r="C185" s="3">
        <v>5</v>
      </c>
      <c r="D185" s="3">
        <v>6</v>
      </c>
      <c r="E185" s="3">
        <v>0</v>
      </c>
      <c r="F185" s="3">
        <v>0</v>
      </c>
      <c r="G185" s="3">
        <v>0</v>
      </c>
      <c r="H185" s="3">
        <v>0</v>
      </c>
      <c r="I185" s="3">
        <v>11</v>
      </c>
    </row>
    <row r="186" spans="1:9" x14ac:dyDescent="0.25">
      <c r="A186" s="4"/>
      <c r="B186" s="2">
        <v>28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35</v>
      </c>
      <c r="I186" s="3">
        <v>35</v>
      </c>
    </row>
    <row r="187" spans="1:9" x14ac:dyDescent="0.25">
      <c r="A187" s="4"/>
      <c r="B187" s="2">
        <v>29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</row>
    <row r="188" spans="1:9" x14ac:dyDescent="0.25">
      <c r="A188" s="4"/>
      <c r="B188" s="2">
        <v>30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</row>
    <row r="189" spans="1:9" x14ac:dyDescent="0.25">
      <c r="A189" s="4"/>
      <c r="B189" s="2">
        <v>31</v>
      </c>
      <c r="C189" s="3">
        <v>0</v>
      </c>
      <c r="D189" s="3">
        <v>0</v>
      </c>
      <c r="E189" s="3">
        <v>0</v>
      </c>
      <c r="F189" s="3">
        <v>0</v>
      </c>
      <c r="G189" s="3">
        <v>3</v>
      </c>
      <c r="H189" s="3">
        <v>44</v>
      </c>
      <c r="I189" s="3">
        <v>47</v>
      </c>
    </row>
    <row r="190" spans="1:9" x14ac:dyDescent="0.25">
      <c r="A190" s="4"/>
      <c r="B190" s="2">
        <v>32</v>
      </c>
      <c r="C190" s="3">
        <v>14</v>
      </c>
      <c r="D190" s="3">
        <v>36</v>
      </c>
      <c r="E190" s="3">
        <v>0</v>
      </c>
      <c r="F190" s="3">
        <v>3</v>
      </c>
      <c r="G190" s="3">
        <v>0</v>
      </c>
      <c r="H190" s="3">
        <v>0</v>
      </c>
      <c r="I190" s="3">
        <f>SUM(C190:H190)</f>
        <v>53</v>
      </c>
    </row>
    <row r="191" spans="1:9" x14ac:dyDescent="0.25">
      <c r="A191" s="4"/>
      <c r="B191" s="2">
        <v>33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</row>
    <row r="192" spans="1:9" x14ac:dyDescent="0.25">
      <c r="A192" s="4"/>
      <c r="B192" s="2">
        <v>34</v>
      </c>
      <c r="C192" s="3">
        <v>0</v>
      </c>
      <c r="D192" s="3">
        <v>0</v>
      </c>
      <c r="E192" s="3">
        <v>0</v>
      </c>
      <c r="F192" s="3">
        <v>8</v>
      </c>
      <c r="G192" s="3">
        <v>0</v>
      </c>
      <c r="H192" s="3">
        <v>0</v>
      </c>
      <c r="I192" s="3">
        <v>8</v>
      </c>
    </row>
    <row r="193" spans="1:9" x14ac:dyDescent="0.25">
      <c r="A193" s="4"/>
      <c r="B193" s="2">
        <v>35</v>
      </c>
      <c r="C193" s="3">
        <v>0</v>
      </c>
      <c r="D193" s="3">
        <v>14</v>
      </c>
      <c r="E193" s="3" t="s">
        <v>26</v>
      </c>
      <c r="F193" s="3" t="s">
        <v>27</v>
      </c>
      <c r="G193" s="3">
        <v>18</v>
      </c>
      <c r="H193" s="3">
        <v>11</v>
      </c>
      <c r="I193" s="3">
        <v>29</v>
      </c>
    </row>
    <row r="194" spans="1:9" x14ac:dyDescent="0.25">
      <c r="A194" s="4"/>
      <c r="B194" s="2">
        <v>36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</row>
    <row r="195" spans="1:9" x14ac:dyDescent="0.25">
      <c r="A195" s="4"/>
      <c r="B195" s="2">
        <v>37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5.5</v>
      </c>
      <c r="I195" s="3">
        <v>5.5</v>
      </c>
    </row>
    <row r="196" spans="1:9" x14ac:dyDescent="0.25">
      <c r="A196" s="4"/>
      <c r="B196" s="2">
        <v>38</v>
      </c>
      <c r="C196" s="3">
        <v>5</v>
      </c>
      <c r="D196" s="3">
        <v>1</v>
      </c>
      <c r="E196" s="3">
        <v>0</v>
      </c>
      <c r="F196" s="3">
        <v>0</v>
      </c>
      <c r="G196" s="3">
        <v>2</v>
      </c>
      <c r="H196" s="3">
        <v>0</v>
      </c>
      <c r="I196" s="3">
        <v>8</v>
      </c>
    </row>
    <row r="197" spans="1:9" x14ac:dyDescent="0.25">
      <c r="A197" s="4"/>
      <c r="B197" s="2">
        <v>39</v>
      </c>
      <c r="C197" s="3">
        <v>76</v>
      </c>
      <c r="D197" s="3">
        <v>17</v>
      </c>
      <c r="E197" s="3">
        <v>2</v>
      </c>
      <c r="F197" s="3">
        <v>20</v>
      </c>
      <c r="G197" s="3">
        <v>25</v>
      </c>
      <c r="H197" s="3" t="s">
        <v>27</v>
      </c>
      <c r="I197" s="3">
        <f>C197+D197+E197+F197+G197</f>
        <v>140</v>
      </c>
    </row>
    <row r="198" spans="1:9" x14ac:dyDescent="0.25">
      <c r="A198" s="4"/>
      <c r="B198" s="2">
        <v>40</v>
      </c>
      <c r="C198" s="3">
        <v>0</v>
      </c>
      <c r="D198" s="3">
        <v>0</v>
      </c>
      <c r="E198" s="3">
        <v>0</v>
      </c>
      <c r="F198" s="3">
        <v>0</v>
      </c>
      <c r="G198" s="3">
        <v>25</v>
      </c>
      <c r="H198" s="3">
        <v>0</v>
      </c>
      <c r="I198" s="3">
        <v>25</v>
      </c>
    </row>
    <row r="199" spans="1:9" x14ac:dyDescent="0.25">
      <c r="A199" s="4"/>
      <c r="B199" s="2">
        <v>41</v>
      </c>
      <c r="C199" s="4"/>
      <c r="D199" s="4"/>
      <c r="E199" s="4"/>
      <c r="F199" s="4"/>
      <c r="G199" s="4"/>
      <c r="H199" s="4"/>
      <c r="I199" s="4"/>
    </row>
    <row r="200" spans="1:9" x14ac:dyDescent="0.25">
      <c r="A200" s="4"/>
      <c r="B200" s="2">
        <v>42</v>
      </c>
      <c r="C200" s="4"/>
      <c r="D200" s="4"/>
      <c r="E200" s="4"/>
      <c r="F200" s="4"/>
      <c r="G200" s="4"/>
      <c r="H200" s="4"/>
      <c r="I200" s="4"/>
    </row>
    <row r="201" spans="1:9" x14ac:dyDescent="0.25">
      <c r="A201" s="4"/>
      <c r="B201" s="2">
        <v>43</v>
      </c>
      <c r="C201" s="4"/>
      <c r="D201" s="4"/>
      <c r="E201" s="4"/>
      <c r="F201" s="4"/>
      <c r="G201" s="4"/>
      <c r="H201" s="4"/>
      <c r="I201" s="4"/>
    </row>
    <row r="202" spans="1:9" x14ac:dyDescent="0.25">
      <c r="A202" s="4"/>
      <c r="B202" s="2">
        <v>44</v>
      </c>
      <c r="C202" s="4"/>
      <c r="D202" s="4"/>
      <c r="E202" s="4"/>
      <c r="F202" s="4"/>
      <c r="G202" s="4"/>
      <c r="H202" s="4"/>
      <c r="I202" s="4"/>
    </row>
    <row r="203" spans="1:9" x14ac:dyDescent="0.25">
      <c r="A203" s="4"/>
      <c r="B203" s="2">
        <v>45</v>
      </c>
      <c r="C203" s="4"/>
      <c r="D203" s="4"/>
      <c r="E203" s="4"/>
      <c r="F203" s="4"/>
      <c r="G203" s="4"/>
      <c r="H203" s="4"/>
      <c r="I203" s="4"/>
    </row>
    <row r="204" spans="1:9" x14ac:dyDescent="0.25">
      <c r="A204" s="4"/>
      <c r="B204" s="2">
        <v>46</v>
      </c>
      <c r="C204" s="4"/>
      <c r="D204" s="4"/>
      <c r="E204" s="4"/>
      <c r="F204" s="4"/>
      <c r="G204" s="4"/>
      <c r="H204" s="4"/>
      <c r="I204" s="4"/>
    </row>
    <row r="205" spans="1:9" x14ac:dyDescent="0.25">
      <c r="A205" s="4"/>
      <c r="B205" s="2">
        <v>47</v>
      </c>
      <c r="C205" s="4"/>
      <c r="D205" s="4"/>
      <c r="E205" s="4"/>
      <c r="F205" s="4"/>
      <c r="G205" s="4"/>
      <c r="H205" s="4"/>
      <c r="I205" s="4"/>
    </row>
    <row r="206" spans="1:9" x14ac:dyDescent="0.25">
      <c r="A206" s="4"/>
      <c r="B206" s="2">
        <v>48</v>
      </c>
      <c r="C206" s="4"/>
      <c r="D206" s="4"/>
      <c r="E206" s="4"/>
      <c r="F206" s="4"/>
      <c r="G206" s="4"/>
      <c r="H206" s="4"/>
      <c r="I206" s="4"/>
    </row>
    <row r="207" spans="1:9" x14ac:dyDescent="0.25">
      <c r="A207" s="4"/>
      <c r="B207" s="2">
        <v>49</v>
      </c>
      <c r="C207" s="4"/>
      <c r="D207" s="4"/>
      <c r="E207" s="4"/>
      <c r="F207" s="4"/>
      <c r="G207" s="4"/>
      <c r="H207" s="4"/>
      <c r="I207" s="4"/>
    </row>
    <row r="208" spans="1:9" x14ac:dyDescent="0.25">
      <c r="A208" s="4"/>
      <c r="B208" s="2">
        <v>50</v>
      </c>
      <c r="C208" s="4"/>
      <c r="D208" s="4"/>
      <c r="E208" s="4"/>
      <c r="F208" s="4"/>
      <c r="G208" s="4"/>
      <c r="H208" s="4"/>
      <c r="I208" s="4"/>
    </row>
    <row r="209" spans="1:9" x14ac:dyDescent="0.25">
      <c r="A209" s="4"/>
      <c r="B209" s="2">
        <v>51</v>
      </c>
      <c r="C209" s="4"/>
      <c r="D209" s="4"/>
      <c r="E209" s="4"/>
      <c r="F209" s="4"/>
      <c r="G209" s="4"/>
      <c r="H209" s="4"/>
      <c r="I209" s="4"/>
    </row>
    <row r="210" spans="1:9" x14ac:dyDescent="0.25">
      <c r="A210" s="4"/>
      <c r="B210" s="2">
        <v>52</v>
      </c>
      <c r="C210" s="4"/>
      <c r="D210" s="4"/>
      <c r="E210" s="4"/>
      <c r="F210" s="4"/>
      <c r="G210" s="4"/>
      <c r="H210" s="4"/>
      <c r="I210" s="4"/>
    </row>
  </sheetData>
  <pageMargins left="0.7" right="0.7" top="0.75" bottom="0.75" header="0.3" footer="0.3"/>
  <pageSetup paperSize="9" orientation="portrait" horizontalDpi="300" verticalDpi="300" r:id="rId1"/>
  <ignoredErrors>
    <ignoredError sqref="I19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12"/>
  <sheetViews>
    <sheetView topLeftCell="A141" workbookViewId="0">
      <selection activeCell="I159" sqref="I159:I197"/>
    </sheetView>
  </sheetViews>
  <sheetFormatPr defaultRowHeight="15" x14ac:dyDescent="0.25"/>
  <cols>
    <col min="1" max="1" width="12.28515625" customWidth="1"/>
    <col min="2" max="2" width="14.42578125" customWidth="1"/>
    <col min="3" max="3" width="15" customWidth="1"/>
    <col min="4" max="4" width="15.28515625" customWidth="1"/>
    <col min="5" max="5" width="17" customWidth="1"/>
    <col min="6" max="6" width="16.5703125" customWidth="1"/>
    <col min="7" max="7" width="16.140625" customWidth="1"/>
    <col min="8" max="8" width="15" customWidth="1"/>
    <col min="9" max="9" width="17.85546875" customWidth="1"/>
  </cols>
  <sheetData>
    <row r="2" spans="1:9" ht="33" customHeight="1" x14ac:dyDescent="0.25">
      <c r="A2" s="1" t="s">
        <v>0</v>
      </c>
      <c r="B2" s="5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9" t="s">
        <v>10</v>
      </c>
    </row>
    <row r="3" spans="1:9" x14ac:dyDescent="0.25">
      <c r="A3" s="2">
        <v>2023</v>
      </c>
      <c r="B3" s="6">
        <v>1</v>
      </c>
      <c r="C3" s="3">
        <v>31</v>
      </c>
      <c r="D3" s="3">
        <v>31</v>
      </c>
      <c r="E3" s="3">
        <v>29</v>
      </c>
      <c r="F3" s="3">
        <v>30</v>
      </c>
      <c r="G3" s="3"/>
      <c r="H3" s="3">
        <v>32</v>
      </c>
      <c r="I3" s="10">
        <f>AVERAGE(C3:H3)</f>
        <v>30.6</v>
      </c>
    </row>
    <row r="4" spans="1:9" x14ac:dyDescent="0.25">
      <c r="A4" s="4"/>
      <c r="B4" s="6">
        <v>2</v>
      </c>
      <c r="C4" s="3">
        <v>30</v>
      </c>
      <c r="D4" s="3">
        <v>31</v>
      </c>
      <c r="E4" s="3">
        <v>30</v>
      </c>
      <c r="F4" s="3">
        <v>32</v>
      </c>
      <c r="G4" s="3">
        <v>30</v>
      </c>
      <c r="H4" s="3">
        <v>33</v>
      </c>
      <c r="I4" s="10">
        <f t="shared" ref="I4:I67" si="0">AVERAGE(C4:H4)</f>
        <v>31</v>
      </c>
    </row>
    <row r="5" spans="1:9" x14ac:dyDescent="0.25">
      <c r="A5" s="4"/>
      <c r="B5" s="6">
        <v>3</v>
      </c>
      <c r="C5" s="3">
        <v>28</v>
      </c>
      <c r="D5" s="3">
        <v>24</v>
      </c>
      <c r="E5" s="3">
        <v>32</v>
      </c>
      <c r="F5" s="3">
        <v>34</v>
      </c>
      <c r="G5" s="3">
        <v>26</v>
      </c>
      <c r="H5" s="3">
        <v>24</v>
      </c>
      <c r="I5" s="10">
        <f t="shared" si="0"/>
        <v>28</v>
      </c>
    </row>
    <row r="6" spans="1:9" x14ac:dyDescent="0.25">
      <c r="A6" s="4"/>
      <c r="B6" s="6">
        <v>4</v>
      </c>
      <c r="C6" s="3">
        <v>31</v>
      </c>
      <c r="D6" s="3">
        <v>30</v>
      </c>
      <c r="E6" s="3">
        <v>34</v>
      </c>
      <c r="F6" s="3">
        <v>32</v>
      </c>
      <c r="G6" s="3">
        <v>28</v>
      </c>
      <c r="H6" s="3">
        <v>28</v>
      </c>
      <c r="I6" s="10">
        <f t="shared" si="0"/>
        <v>30.5</v>
      </c>
    </row>
    <row r="7" spans="1:9" x14ac:dyDescent="0.25">
      <c r="A7" s="4"/>
      <c r="B7" s="6">
        <v>5</v>
      </c>
      <c r="C7" s="3">
        <v>28</v>
      </c>
      <c r="D7" s="3">
        <v>26</v>
      </c>
      <c r="E7" s="3">
        <v>22</v>
      </c>
      <c r="F7" s="3">
        <v>28</v>
      </c>
      <c r="G7" s="3">
        <v>22</v>
      </c>
      <c r="H7" s="3"/>
      <c r="I7" s="10">
        <f t="shared" si="0"/>
        <v>25.2</v>
      </c>
    </row>
    <row r="8" spans="1:9" x14ac:dyDescent="0.25">
      <c r="A8" s="4"/>
      <c r="B8" s="6">
        <v>6</v>
      </c>
      <c r="C8" s="3">
        <v>21</v>
      </c>
      <c r="D8" s="3">
        <v>26</v>
      </c>
      <c r="E8" s="3">
        <v>28</v>
      </c>
      <c r="F8" s="3">
        <v>28</v>
      </c>
      <c r="G8" s="3">
        <v>30</v>
      </c>
      <c r="H8" s="3">
        <v>20</v>
      </c>
      <c r="I8" s="10">
        <f t="shared" si="0"/>
        <v>25.5</v>
      </c>
    </row>
    <row r="9" spans="1:9" x14ac:dyDescent="0.25">
      <c r="A9" s="4"/>
      <c r="B9" s="6">
        <v>7</v>
      </c>
      <c r="C9" s="3">
        <v>20</v>
      </c>
      <c r="D9" s="3">
        <v>20</v>
      </c>
      <c r="E9" s="3">
        <v>18</v>
      </c>
      <c r="F9" s="3">
        <v>18</v>
      </c>
      <c r="G9" s="3">
        <v>18</v>
      </c>
      <c r="H9" s="3">
        <v>20</v>
      </c>
      <c r="I9" s="10">
        <f t="shared" si="0"/>
        <v>19</v>
      </c>
    </row>
    <row r="10" spans="1:9" x14ac:dyDescent="0.25">
      <c r="A10" s="4"/>
      <c r="B10" s="6">
        <v>8</v>
      </c>
      <c r="C10" s="3">
        <v>22</v>
      </c>
      <c r="D10" s="3">
        <v>21</v>
      </c>
      <c r="E10" s="3">
        <v>24</v>
      </c>
      <c r="F10" s="3">
        <v>20</v>
      </c>
      <c r="G10" s="3">
        <v>21</v>
      </c>
      <c r="H10" s="3"/>
      <c r="I10" s="10">
        <f t="shared" si="0"/>
        <v>21.6</v>
      </c>
    </row>
    <row r="11" spans="1:9" x14ac:dyDescent="0.25">
      <c r="A11" s="4"/>
      <c r="B11" s="6">
        <v>9</v>
      </c>
      <c r="C11" s="3">
        <v>28</v>
      </c>
      <c r="D11" s="3">
        <v>21</v>
      </c>
      <c r="E11" s="3">
        <v>31</v>
      </c>
      <c r="F11" s="3">
        <v>29</v>
      </c>
      <c r="G11" s="3">
        <v>28</v>
      </c>
      <c r="H11" s="3"/>
      <c r="I11" s="10">
        <f t="shared" si="0"/>
        <v>27.4</v>
      </c>
    </row>
    <row r="12" spans="1:9" x14ac:dyDescent="0.25">
      <c r="A12" s="4"/>
      <c r="B12" s="6">
        <v>10</v>
      </c>
      <c r="C12" s="3"/>
      <c r="D12" s="3">
        <v>20</v>
      </c>
      <c r="E12" s="3">
        <v>18</v>
      </c>
      <c r="F12" s="3">
        <v>22</v>
      </c>
      <c r="G12" s="3">
        <v>22</v>
      </c>
      <c r="H12" s="3">
        <v>22</v>
      </c>
      <c r="I12" s="10">
        <f t="shared" si="0"/>
        <v>20.8</v>
      </c>
    </row>
    <row r="13" spans="1:9" x14ac:dyDescent="0.25">
      <c r="A13" s="4"/>
      <c r="B13" s="6">
        <v>11</v>
      </c>
      <c r="C13" s="3">
        <v>21</v>
      </c>
      <c r="D13" s="3">
        <v>21</v>
      </c>
      <c r="E13" s="3">
        <v>20</v>
      </c>
      <c r="F13" s="3">
        <v>26</v>
      </c>
      <c r="G13" s="3">
        <v>21</v>
      </c>
      <c r="H13" s="3">
        <v>21</v>
      </c>
      <c r="I13" s="10">
        <f t="shared" si="0"/>
        <v>21.666666666666668</v>
      </c>
    </row>
    <row r="14" spans="1:9" x14ac:dyDescent="0.25">
      <c r="A14" s="4"/>
      <c r="B14" s="6">
        <v>12</v>
      </c>
      <c r="C14" s="3">
        <v>21</v>
      </c>
      <c r="D14" s="3">
        <v>21</v>
      </c>
      <c r="E14" s="3">
        <v>21</v>
      </c>
      <c r="F14" s="3">
        <v>24</v>
      </c>
      <c r="G14" s="3">
        <v>21</v>
      </c>
      <c r="H14" s="3">
        <v>22</v>
      </c>
      <c r="I14" s="10">
        <f t="shared" si="0"/>
        <v>21.666666666666668</v>
      </c>
    </row>
    <row r="15" spans="1:9" x14ac:dyDescent="0.25">
      <c r="A15" s="4"/>
      <c r="B15" s="6">
        <v>13</v>
      </c>
      <c r="C15" s="3">
        <v>22</v>
      </c>
      <c r="D15" s="3">
        <v>22</v>
      </c>
      <c r="E15" s="3">
        <v>24</v>
      </c>
      <c r="F15" s="3">
        <v>22</v>
      </c>
      <c r="G15" s="3">
        <v>22</v>
      </c>
      <c r="H15" s="3"/>
      <c r="I15" s="10">
        <f t="shared" si="0"/>
        <v>22.4</v>
      </c>
    </row>
    <row r="16" spans="1:9" x14ac:dyDescent="0.25">
      <c r="A16" s="4"/>
      <c r="B16" s="6">
        <v>14</v>
      </c>
      <c r="C16" s="3">
        <v>20</v>
      </c>
      <c r="D16" s="3">
        <v>22</v>
      </c>
      <c r="E16" s="3"/>
      <c r="F16" s="3">
        <v>21</v>
      </c>
      <c r="G16" s="3">
        <v>24</v>
      </c>
      <c r="H16" s="3">
        <v>24</v>
      </c>
      <c r="I16" s="10">
        <f t="shared" si="0"/>
        <v>22.2</v>
      </c>
    </row>
    <row r="17" spans="1:9" x14ac:dyDescent="0.25">
      <c r="A17" s="4"/>
      <c r="B17" s="6">
        <v>15</v>
      </c>
      <c r="C17" s="3">
        <v>22</v>
      </c>
      <c r="D17" s="3">
        <v>22</v>
      </c>
      <c r="E17" s="3"/>
      <c r="F17" s="3"/>
      <c r="G17" s="3"/>
      <c r="H17" s="3"/>
      <c r="I17" s="10">
        <f t="shared" si="0"/>
        <v>22</v>
      </c>
    </row>
    <row r="18" spans="1:9" x14ac:dyDescent="0.25">
      <c r="A18" s="4"/>
      <c r="B18" s="6">
        <v>16</v>
      </c>
      <c r="C18" s="3">
        <v>24</v>
      </c>
      <c r="D18" s="3">
        <v>22</v>
      </c>
      <c r="E18" s="3">
        <v>22</v>
      </c>
      <c r="F18" s="3">
        <v>24</v>
      </c>
      <c r="G18" s="3">
        <v>23</v>
      </c>
      <c r="H18" s="3"/>
      <c r="I18" s="10">
        <f t="shared" si="0"/>
        <v>23</v>
      </c>
    </row>
    <row r="19" spans="1:9" x14ac:dyDescent="0.25">
      <c r="A19" s="4"/>
      <c r="B19" s="6">
        <v>17</v>
      </c>
      <c r="C19" s="3">
        <v>24</v>
      </c>
      <c r="D19" s="3">
        <v>24</v>
      </c>
      <c r="E19" s="3">
        <v>28</v>
      </c>
      <c r="F19" s="3">
        <v>24</v>
      </c>
      <c r="G19" s="3">
        <v>34</v>
      </c>
      <c r="H19" s="3">
        <v>32</v>
      </c>
      <c r="I19" s="10">
        <f t="shared" si="0"/>
        <v>27.666666666666668</v>
      </c>
    </row>
    <row r="20" spans="1:9" x14ac:dyDescent="0.25">
      <c r="A20" s="4"/>
      <c r="B20" s="6">
        <v>18</v>
      </c>
      <c r="C20" s="3">
        <v>28</v>
      </c>
      <c r="D20" s="3">
        <v>27</v>
      </c>
      <c r="E20" s="3">
        <v>28</v>
      </c>
      <c r="F20" s="3">
        <v>28</v>
      </c>
      <c r="G20" s="3"/>
      <c r="H20" s="3"/>
      <c r="I20" s="10">
        <f t="shared" si="0"/>
        <v>27.75</v>
      </c>
    </row>
    <row r="21" spans="1:9" x14ac:dyDescent="0.25">
      <c r="A21" s="4"/>
      <c r="B21" s="6">
        <v>19</v>
      </c>
      <c r="C21" s="3"/>
      <c r="D21" s="3">
        <v>28</v>
      </c>
      <c r="E21" s="3">
        <v>28</v>
      </c>
      <c r="F21" s="3">
        <v>27</v>
      </c>
      <c r="G21" s="3">
        <v>26</v>
      </c>
      <c r="H21" s="3">
        <v>24</v>
      </c>
      <c r="I21" s="10">
        <f t="shared" si="0"/>
        <v>26.6</v>
      </c>
    </row>
    <row r="22" spans="1:9" x14ac:dyDescent="0.25">
      <c r="A22" s="4"/>
      <c r="B22" s="6">
        <v>20</v>
      </c>
      <c r="C22" s="3">
        <v>24</v>
      </c>
      <c r="D22" s="3">
        <v>18</v>
      </c>
      <c r="E22" s="3">
        <v>24</v>
      </c>
      <c r="F22" s="3">
        <v>24</v>
      </c>
      <c r="G22" s="3">
        <v>24</v>
      </c>
      <c r="H22" s="3">
        <v>24</v>
      </c>
      <c r="I22" s="10">
        <f t="shared" si="0"/>
        <v>23</v>
      </c>
    </row>
    <row r="23" spans="1:9" x14ac:dyDescent="0.25">
      <c r="A23" s="4"/>
      <c r="B23" s="6">
        <v>21</v>
      </c>
      <c r="C23" s="3">
        <v>22</v>
      </c>
      <c r="D23" s="3">
        <v>23</v>
      </c>
      <c r="E23" s="3">
        <v>24</v>
      </c>
      <c r="F23" s="3">
        <v>28</v>
      </c>
      <c r="G23" s="3">
        <v>32</v>
      </c>
      <c r="H23" s="3">
        <v>30</v>
      </c>
      <c r="I23" s="10">
        <f t="shared" si="0"/>
        <v>26.5</v>
      </c>
    </row>
    <row r="24" spans="1:9" x14ac:dyDescent="0.25">
      <c r="A24" s="4"/>
      <c r="B24" s="6">
        <v>22</v>
      </c>
      <c r="C24" s="3">
        <v>28</v>
      </c>
      <c r="D24" s="3">
        <v>28</v>
      </c>
      <c r="E24" s="3"/>
      <c r="F24" s="3">
        <v>24</v>
      </c>
      <c r="G24" s="3">
        <v>26</v>
      </c>
      <c r="H24" s="3"/>
      <c r="I24" s="10">
        <f t="shared" si="0"/>
        <v>26.5</v>
      </c>
    </row>
    <row r="25" spans="1:9" x14ac:dyDescent="0.25">
      <c r="A25" s="4"/>
      <c r="B25" s="6">
        <v>23</v>
      </c>
      <c r="C25" s="3">
        <v>22</v>
      </c>
      <c r="D25" s="3">
        <v>26</v>
      </c>
      <c r="E25" s="3">
        <v>24</v>
      </c>
      <c r="F25" s="3">
        <v>24</v>
      </c>
      <c r="G25" s="3">
        <v>26</v>
      </c>
      <c r="H25" s="3">
        <v>26</v>
      </c>
      <c r="I25" s="10">
        <f t="shared" si="0"/>
        <v>24.666666666666668</v>
      </c>
    </row>
    <row r="26" spans="1:9" x14ac:dyDescent="0.25">
      <c r="A26" s="4"/>
      <c r="B26" s="6">
        <v>24</v>
      </c>
      <c r="C26" s="3">
        <v>26</v>
      </c>
      <c r="D26" s="3">
        <v>26</v>
      </c>
      <c r="E26" s="3">
        <v>26</v>
      </c>
      <c r="F26" s="3">
        <v>26</v>
      </c>
      <c r="G26" s="3">
        <v>26</v>
      </c>
      <c r="H26" s="3">
        <v>25</v>
      </c>
      <c r="I26" s="10">
        <f t="shared" si="0"/>
        <v>25.833333333333332</v>
      </c>
    </row>
    <row r="27" spans="1:9" x14ac:dyDescent="0.25">
      <c r="A27" s="4"/>
      <c r="B27" s="6">
        <v>25</v>
      </c>
      <c r="C27" s="3">
        <v>26</v>
      </c>
      <c r="D27" s="3">
        <v>26</v>
      </c>
      <c r="E27" s="3">
        <v>26</v>
      </c>
      <c r="F27" s="3">
        <v>26</v>
      </c>
      <c r="G27" s="3">
        <v>26</v>
      </c>
      <c r="H27" s="3">
        <v>26</v>
      </c>
      <c r="I27" s="10">
        <f t="shared" si="0"/>
        <v>26</v>
      </c>
    </row>
    <row r="28" spans="1:9" x14ac:dyDescent="0.25">
      <c r="A28" s="4"/>
      <c r="B28" s="6">
        <v>26</v>
      </c>
      <c r="C28" s="3">
        <v>26</v>
      </c>
      <c r="D28" s="3">
        <v>27</v>
      </c>
      <c r="E28" s="3">
        <v>27</v>
      </c>
      <c r="F28" s="3">
        <v>27</v>
      </c>
      <c r="G28" s="3">
        <v>27</v>
      </c>
      <c r="H28" s="3"/>
      <c r="I28" s="10">
        <f t="shared" si="0"/>
        <v>26.8</v>
      </c>
    </row>
    <row r="29" spans="1:9" x14ac:dyDescent="0.25">
      <c r="A29" s="4"/>
      <c r="B29" s="6">
        <v>27</v>
      </c>
      <c r="C29" s="3"/>
      <c r="D29" s="3">
        <v>26</v>
      </c>
      <c r="E29" s="3">
        <v>26</v>
      </c>
      <c r="F29" s="3">
        <v>26</v>
      </c>
      <c r="G29" s="3">
        <v>30</v>
      </c>
      <c r="H29" s="3">
        <v>30</v>
      </c>
      <c r="I29" s="10">
        <f t="shared" si="0"/>
        <v>27.6</v>
      </c>
    </row>
    <row r="30" spans="1:9" x14ac:dyDescent="0.25">
      <c r="A30" s="4"/>
      <c r="B30" s="6">
        <v>28</v>
      </c>
      <c r="C30" s="3">
        <v>26</v>
      </c>
      <c r="D30" s="3">
        <v>27</v>
      </c>
      <c r="E30" s="3">
        <v>26</v>
      </c>
      <c r="F30" s="3">
        <v>30</v>
      </c>
      <c r="G30" s="3">
        <v>30</v>
      </c>
      <c r="H30" s="3">
        <v>30</v>
      </c>
      <c r="I30" s="10">
        <f t="shared" si="0"/>
        <v>28.166666666666668</v>
      </c>
    </row>
    <row r="31" spans="1:9" x14ac:dyDescent="0.25">
      <c r="A31" s="4"/>
      <c r="B31" s="6">
        <v>29</v>
      </c>
      <c r="C31" s="3">
        <v>26</v>
      </c>
      <c r="D31" s="3">
        <v>30</v>
      </c>
      <c r="E31" s="3">
        <v>30</v>
      </c>
      <c r="F31" s="3">
        <v>34</v>
      </c>
      <c r="G31" s="3">
        <v>26</v>
      </c>
      <c r="H31" s="3">
        <v>27</v>
      </c>
      <c r="I31" s="10">
        <f t="shared" si="0"/>
        <v>28.833333333333332</v>
      </c>
    </row>
    <row r="32" spans="1:9" x14ac:dyDescent="0.25">
      <c r="A32" s="4"/>
      <c r="B32" s="6">
        <v>30</v>
      </c>
      <c r="C32" s="3">
        <v>27</v>
      </c>
      <c r="D32" s="3">
        <v>30</v>
      </c>
      <c r="E32" s="3">
        <v>30</v>
      </c>
      <c r="F32" s="3">
        <v>26</v>
      </c>
      <c r="G32" s="3">
        <v>26</v>
      </c>
      <c r="H32" s="3"/>
      <c r="I32" s="10">
        <f t="shared" si="0"/>
        <v>27.8</v>
      </c>
    </row>
    <row r="33" spans="1:9" x14ac:dyDescent="0.25">
      <c r="A33" s="4"/>
      <c r="B33" s="6">
        <v>31</v>
      </c>
      <c r="C33" s="3">
        <v>26</v>
      </c>
      <c r="D33" s="3"/>
      <c r="E33" s="3">
        <v>27</v>
      </c>
      <c r="F33" s="3">
        <v>27</v>
      </c>
      <c r="G33" s="3">
        <v>28</v>
      </c>
      <c r="H33" s="3">
        <v>28</v>
      </c>
      <c r="I33" s="10">
        <f t="shared" si="0"/>
        <v>27.2</v>
      </c>
    </row>
    <row r="34" spans="1:9" x14ac:dyDescent="0.25">
      <c r="A34" s="4"/>
      <c r="B34" s="6">
        <v>32</v>
      </c>
      <c r="C34" s="3">
        <v>30</v>
      </c>
      <c r="D34" s="3">
        <v>30</v>
      </c>
      <c r="E34" s="3">
        <v>26</v>
      </c>
      <c r="F34" s="3">
        <v>26</v>
      </c>
      <c r="G34" s="3">
        <v>26</v>
      </c>
      <c r="H34" s="3">
        <v>30</v>
      </c>
      <c r="I34" s="10">
        <f t="shared" si="0"/>
        <v>28</v>
      </c>
    </row>
    <row r="35" spans="1:9" x14ac:dyDescent="0.25">
      <c r="A35" s="4"/>
      <c r="B35" s="6">
        <v>33</v>
      </c>
      <c r="C35" s="3">
        <v>28</v>
      </c>
      <c r="D35" s="3">
        <v>27</v>
      </c>
      <c r="E35" s="3">
        <v>28</v>
      </c>
      <c r="F35" s="3"/>
      <c r="G35" s="3">
        <v>28</v>
      </c>
      <c r="H35" s="3">
        <v>27</v>
      </c>
      <c r="I35" s="10">
        <f t="shared" si="0"/>
        <v>27.6</v>
      </c>
    </row>
    <row r="36" spans="1:9" x14ac:dyDescent="0.25">
      <c r="A36" s="4"/>
      <c r="B36" s="6">
        <v>34</v>
      </c>
      <c r="C36" s="3">
        <v>28</v>
      </c>
      <c r="D36" s="3">
        <v>28</v>
      </c>
      <c r="E36" s="3">
        <v>28</v>
      </c>
      <c r="F36" s="3">
        <v>27</v>
      </c>
      <c r="G36" s="3">
        <v>30</v>
      </c>
      <c r="H36" s="3">
        <v>28</v>
      </c>
      <c r="I36" s="10">
        <f t="shared" si="0"/>
        <v>28.166666666666668</v>
      </c>
    </row>
    <row r="37" spans="1:9" x14ac:dyDescent="0.25">
      <c r="A37" s="4"/>
      <c r="B37" s="6">
        <v>35</v>
      </c>
      <c r="C37" s="3">
        <v>22</v>
      </c>
      <c r="D37" s="3">
        <v>33</v>
      </c>
      <c r="E37" s="3"/>
      <c r="F37" s="3">
        <v>29</v>
      </c>
      <c r="G37" s="3">
        <v>20</v>
      </c>
      <c r="H37" s="3">
        <v>23</v>
      </c>
      <c r="I37" s="10">
        <f t="shared" si="0"/>
        <v>25.4</v>
      </c>
    </row>
    <row r="38" spans="1:9" x14ac:dyDescent="0.25">
      <c r="A38" s="4"/>
      <c r="B38" s="6">
        <v>36</v>
      </c>
      <c r="C38" s="3">
        <v>23</v>
      </c>
      <c r="D38" s="3">
        <v>33</v>
      </c>
      <c r="E38" s="3">
        <v>22</v>
      </c>
      <c r="F38" s="3">
        <v>22</v>
      </c>
      <c r="G38" s="3">
        <v>23</v>
      </c>
      <c r="H38" s="3">
        <v>20</v>
      </c>
      <c r="I38" s="10">
        <f t="shared" si="0"/>
        <v>23.833333333333332</v>
      </c>
    </row>
    <row r="39" spans="1:9" x14ac:dyDescent="0.25">
      <c r="A39" s="4"/>
      <c r="B39" s="6">
        <v>37</v>
      </c>
      <c r="C39" s="3">
        <v>22</v>
      </c>
      <c r="D39" s="3">
        <v>22</v>
      </c>
      <c r="E39" s="3"/>
      <c r="F39" s="3">
        <v>20</v>
      </c>
      <c r="G39" s="3">
        <v>20</v>
      </c>
      <c r="H39" s="3">
        <v>20</v>
      </c>
      <c r="I39" s="10">
        <f t="shared" si="0"/>
        <v>20.8</v>
      </c>
    </row>
    <row r="40" spans="1:9" x14ac:dyDescent="0.25">
      <c r="A40" s="4"/>
      <c r="B40" s="6">
        <v>38</v>
      </c>
      <c r="C40" s="3">
        <v>35</v>
      </c>
      <c r="D40" s="3">
        <v>35</v>
      </c>
      <c r="E40" s="3">
        <v>30</v>
      </c>
      <c r="F40" s="3">
        <v>30</v>
      </c>
      <c r="G40" s="3">
        <v>30</v>
      </c>
      <c r="H40" s="3">
        <v>33</v>
      </c>
      <c r="I40" s="10">
        <f t="shared" si="0"/>
        <v>32.166666666666664</v>
      </c>
    </row>
    <row r="41" spans="1:9" x14ac:dyDescent="0.25">
      <c r="A41" s="4"/>
      <c r="B41" s="6">
        <v>39</v>
      </c>
      <c r="C41" s="3">
        <v>30</v>
      </c>
      <c r="D41" s="3">
        <v>28</v>
      </c>
      <c r="E41" s="3">
        <v>28</v>
      </c>
      <c r="F41" s="3"/>
      <c r="G41" s="3"/>
      <c r="H41" s="3">
        <v>22</v>
      </c>
      <c r="I41" s="10">
        <f t="shared" si="0"/>
        <v>27</v>
      </c>
    </row>
    <row r="42" spans="1:9" x14ac:dyDescent="0.25">
      <c r="A42" s="4"/>
      <c r="B42" s="6">
        <v>40</v>
      </c>
      <c r="C42" s="3">
        <v>34</v>
      </c>
      <c r="D42" s="3">
        <v>34</v>
      </c>
      <c r="E42" s="3">
        <v>28</v>
      </c>
      <c r="F42" s="3">
        <v>31</v>
      </c>
      <c r="G42" s="3">
        <v>33</v>
      </c>
      <c r="H42" s="3">
        <v>35</v>
      </c>
      <c r="I42" s="10">
        <f t="shared" si="0"/>
        <v>32.5</v>
      </c>
    </row>
    <row r="43" spans="1:9" x14ac:dyDescent="0.25">
      <c r="A43" s="4"/>
      <c r="B43" s="6">
        <v>41</v>
      </c>
      <c r="C43" s="3">
        <v>24</v>
      </c>
      <c r="D43" s="3">
        <v>35</v>
      </c>
      <c r="E43" s="3">
        <v>24</v>
      </c>
      <c r="F43" s="3">
        <v>28</v>
      </c>
      <c r="G43" s="3">
        <v>25</v>
      </c>
      <c r="H43" s="3">
        <v>34</v>
      </c>
      <c r="I43" s="10">
        <f t="shared" si="0"/>
        <v>28.333333333333332</v>
      </c>
    </row>
    <row r="44" spans="1:9" x14ac:dyDescent="0.25">
      <c r="A44" s="4"/>
      <c r="B44" s="6">
        <v>42</v>
      </c>
      <c r="C44" s="3">
        <v>35</v>
      </c>
      <c r="D44" s="3">
        <v>22</v>
      </c>
      <c r="E44" s="3">
        <v>24</v>
      </c>
      <c r="F44" s="3">
        <v>22</v>
      </c>
      <c r="G44" s="3">
        <v>22</v>
      </c>
      <c r="H44" s="3">
        <v>23</v>
      </c>
      <c r="I44" s="10">
        <f t="shared" si="0"/>
        <v>24.666666666666668</v>
      </c>
    </row>
    <row r="45" spans="1:9" x14ac:dyDescent="0.25">
      <c r="A45" s="4"/>
      <c r="B45" s="6">
        <v>43</v>
      </c>
      <c r="C45" s="3">
        <v>34</v>
      </c>
      <c r="D45" s="3">
        <v>32</v>
      </c>
      <c r="E45" s="3">
        <v>36</v>
      </c>
      <c r="F45" s="3">
        <v>29</v>
      </c>
      <c r="G45" s="3">
        <v>30</v>
      </c>
      <c r="H45" s="3"/>
      <c r="I45" s="10">
        <f t="shared" si="0"/>
        <v>32.200000000000003</v>
      </c>
    </row>
    <row r="46" spans="1:9" x14ac:dyDescent="0.25">
      <c r="A46" s="4"/>
      <c r="B46" s="6">
        <v>44</v>
      </c>
      <c r="C46" s="3">
        <v>22</v>
      </c>
      <c r="D46" s="3">
        <v>23</v>
      </c>
      <c r="E46" s="3">
        <v>22</v>
      </c>
      <c r="F46" s="3">
        <v>24</v>
      </c>
      <c r="G46" s="3">
        <v>24</v>
      </c>
      <c r="H46" s="3">
        <v>22</v>
      </c>
      <c r="I46" s="10">
        <f t="shared" si="0"/>
        <v>22.833333333333332</v>
      </c>
    </row>
    <row r="47" spans="1:9" x14ac:dyDescent="0.25">
      <c r="A47" s="4"/>
      <c r="B47" s="6">
        <v>45</v>
      </c>
      <c r="C47" s="3">
        <v>22</v>
      </c>
      <c r="D47" s="3">
        <v>24</v>
      </c>
      <c r="E47" s="3">
        <v>24</v>
      </c>
      <c r="F47" s="3">
        <v>24</v>
      </c>
      <c r="G47" s="3">
        <v>30</v>
      </c>
      <c r="H47" s="3">
        <v>24</v>
      </c>
      <c r="I47" s="10">
        <f t="shared" si="0"/>
        <v>24.666666666666668</v>
      </c>
    </row>
    <row r="48" spans="1:9" x14ac:dyDescent="0.25">
      <c r="A48" s="4"/>
      <c r="B48" s="6">
        <v>46</v>
      </c>
      <c r="C48" s="3">
        <v>25</v>
      </c>
      <c r="D48" s="3">
        <v>23</v>
      </c>
      <c r="E48" s="3">
        <v>28</v>
      </c>
      <c r="F48" s="3">
        <v>24</v>
      </c>
      <c r="G48" s="3">
        <v>26</v>
      </c>
      <c r="H48" s="3">
        <v>24</v>
      </c>
      <c r="I48" s="10">
        <f t="shared" si="0"/>
        <v>25</v>
      </c>
    </row>
    <row r="49" spans="1:9" x14ac:dyDescent="0.25">
      <c r="A49" s="4"/>
      <c r="B49" s="6">
        <v>47</v>
      </c>
      <c r="C49" s="3">
        <v>21</v>
      </c>
      <c r="D49" s="3">
        <v>22</v>
      </c>
      <c r="E49" s="3">
        <v>24</v>
      </c>
      <c r="F49" s="3">
        <v>24</v>
      </c>
      <c r="G49" s="3">
        <v>24</v>
      </c>
      <c r="H49" s="3">
        <v>24</v>
      </c>
      <c r="I49" s="10">
        <f t="shared" si="0"/>
        <v>23.166666666666668</v>
      </c>
    </row>
    <row r="50" spans="1:9" x14ac:dyDescent="0.25">
      <c r="A50" s="4"/>
      <c r="B50" s="6">
        <v>48</v>
      </c>
      <c r="C50" s="3">
        <v>21</v>
      </c>
      <c r="D50" s="3">
        <v>24</v>
      </c>
      <c r="E50" s="3">
        <v>24</v>
      </c>
      <c r="F50" s="3">
        <v>22</v>
      </c>
      <c r="G50" s="3">
        <v>24</v>
      </c>
      <c r="H50" s="3">
        <v>24</v>
      </c>
      <c r="I50" s="10">
        <f t="shared" si="0"/>
        <v>23.166666666666668</v>
      </c>
    </row>
    <row r="51" spans="1:9" x14ac:dyDescent="0.25">
      <c r="A51" s="4"/>
      <c r="B51" s="6">
        <v>49</v>
      </c>
      <c r="C51" s="3">
        <v>23</v>
      </c>
      <c r="D51" s="3">
        <v>22</v>
      </c>
      <c r="E51" s="3">
        <v>23</v>
      </c>
      <c r="F51" s="3">
        <v>22</v>
      </c>
      <c r="G51" s="3">
        <v>24</v>
      </c>
      <c r="H51" s="3">
        <v>25</v>
      </c>
      <c r="I51" s="10">
        <f t="shared" si="0"/>
        <v>23.166666666666668</v>
      </c>
    </row>
    <row r="52" spans="1:9" x14ac:dyDescent="0.25">
      <c r="A52" s="4"/>
      <c r="B52" s="6">
        <v>50</v>
      </c>
      <c r="C52" s="3">
        <v>24</v>
      </c>
      <c r="D52" s="3">
        <v>26</v>
      </c>
      <c r="E52" s="3">
        <v>24</v>
      </c>
      <c r="F52" s="3">
        <v>22</v>
      </c>
      <c r="G52" s="3">
        <v>25</v>
      </c>
      <c r="H52" s="3">
        <v>23</v>
      </c>
      <c r="I52" s="10">
        <f t="shared" si="0"/>
        <v>24</v>
      </c>
    </row>
    <row r="53" spans="1:9" x14ac:dyDescent="0.25">
      <c r="A53" s="4"/>
      <c r="B53" s="6">
        <v>51</v>
      </c>
      <c r="C53" s="3">
        <v>26</v>
      </c>
      <c r="D53" s="3">
        <v>24</v>
      </c>
      <c r="E53" s="3">
        <v>24</v>
      </c>
      <c r="F53" s="3">
        <v>22</v>
      </c>
      <c r="G53" s="3">
        <v>22</v>
      </c>
      <c r="H53" s="3">
        <v>20</v>
      </c>
      <c r="I53" s="10">
        <f t="shared" si="0"/>
        <v>23</v>
      </c>
    </row>
    <row r="54" spans="1:9" x14ac:dyDescent="0.25">
      <c r="A54" s="4"/>
      <c r="B54" s="6">
        <v>52</v>
      </c>
      <c r="C54" s="3"/>
      <c r="D54" s="3"/>
      <c r="E54" s="3">
        <v>22</v>
      </c>
      <c r="F54" s="3">
        <v>20</v>
      </c>
      <c r="G54" s="3">
        <v>21</v>
      </c>
      <c r="H54" s="3">
        <v>20</v>
      </c>
      <c r="I54" s="10">
        <f t="shared" si="0"/>
        <v>20.75</v>
      </c>
    </row>
    <row r="55" spans="1:9" x14ac:dyDescent="0.25">
      <c r="A55" s="2">
        <v>2024</v>
      </c>
      <c r="B55" s="6">
        <v>1</v>
      </c>
      <c r="C55" s="3">
        <v>26</v>
      </c>
      <c r="D55" s="3">
        <v>22</v>
      </c>
      <c r="E55" s="3">
        <v>22</v>
      </c>
      <c r="F55" s="3">
        <v>22</v>
      </c>
      <c r="G55" s="3">
        <v>22</v>
      </c>
      <c r="H55" s="3">
        <v>21</v>
      </c>
      <c r="I55" s="10">
        <f t="shared" si="0"/>
        <v>22.5</v>
      </c>
    </row>
    <row r="56" spans="1:9" x14ac:dyDescent="0.25">
      <c r="A56" s="4"/>
      <c r="B56" s="6">
        <v>2</v>
      </c>
      <c r="C56" s="3">
        <v>23</v>
      </c>
      <c r="D56" s="3">
        <v>24</v>
      </c>
      <c r="E56" s="3">
        <v>24</v>
      </c>
      <c r="F56" s="3">
        <v>22</v>
      </c>
      <c r="G56" s="3">
        <v>22</v>
      </c>
      <c r="H56" s="3">
        <v>22</v>
      </c>
      <c r="I56" s="10">
        <f t="shared" si="0"/>
        <v>22.833333333333332</v>
      </c>
    </row>
    <row r="57" spans="1:9" x14ac:dyDescent="0.25">
      <c r="A57" s="4"/>
      <c r="B57" s="6">
        <v>3</v>
      </c>
      <c r="C57" s="3"/>
      <c r="D57" s="3">
        <v>18</v>
      </c>
      <c r="E57" s="3">
        <v>18</v>
      </c>
      <c r="F57" s="3">
        <v>20</v>
      </c>
      <c r="G57" s="3">
        <v>24</v>
      </c>
      <c r="H57" s="3">
        <v>24</v>
      </c>
      <c r="I57" s="10">
        <f t="shared" si="0"/>
        <v>20.8</v>
      </c>
    </row>
    <row r="58" spans="1:9" x14ac:dyDescent="0.25">
      <c r="A58" s="4"/>
      <c r="B58" s="6">
        <v>4</v>
      </c>
      <c r="C58" s="3">
        <v>23</v>
      </c>
      <c r="D58" s="3">
        <v>22</v>
      </c>
      <c r="E58" s="3">
        <v>22</v>
      </c>
      <c r="F58" s="3"/>
      <c r="G58" s="3">
        <v>18</v>
      </c>
      <c r="H58" s="3">
        <v>24</v>
      </c>
      <c r="I58" s="10">
        <f t="shared" si="0"/>
        <v>21.8</v>
      </c>
    </row>
    <row r="59" spans="1:9" x14ac:dyDescent="0.25">
      <c r="A59" s="4"/>
      <c r="B59" s="6">
        <v>5</v>
      </c>
      <c r="C59" s="3">
        <v>21</v>
      </c>
      <c r="D59" s="3">
        <v>22</v>
      </c>
      <c r="E59" s="3">
        <v>23</v>
      </c>
      <c r="F59" s="3">
        <v>22</v>
      </c>
      <c r="G59" s="3">
        <v>22</v>
      </c>
      <c r="H59" s="3">
        <v>22</v>
      </c>
      <c r="I59" s="10">
        <f t="shared" si="0"/>
        <v>22</v>
      </c>
    </row>
    <row r="60" spans="1:9" x14ac:dyDescent="0.25">
      <c r="A60" s="4"/>
      <c r="B60" s="6">
        <v>6</v>
      </c>
      <c r="C60" s="3">
        <v>22</v>
      </c>
      <c r="D60" s="3">
        <v>23</v>
      </c>
      <c r="E60" s="3">
        <v>22</v>
      </c>
      <c r="F60" s="3">
        <v>21</v>
      </c>
      <c r="G60" s="3">
        <v>22</v>
      </c>
      <c r="H60" s="3">
        <v>22</v>
      </c>
      <c r="I60" s="10">
        <f t="shared" si="0"/>
        <v>22</v>
      </c>
    </row>
    <row r="61" spans="1:9" x14ac:dyDescent="0.25">
      <c r="A61" s="4"/>
      <c r="B61" s="6">
        <v>7</v>
      </c>
      <c r="C61" s="3">
        <v>22</v>
      </c>
      <c r="D61" s="3">
        <v>18</v>
      </c>
      <c r="E61" s="3">
        <v>21</v>
      </c>
      <c r="F61" s="3">
        <v>22</v>
      </c>
      <c r="G61" s="3">
        <v>21</v>
      </c>
      <c r="H61" s="3">
        <v>21</v>
      </c>
      <c r="I61" s="10">
        <f t="shared" si="0"/>
        <v>20.833333333333332</v>
      </c>
    </row>
    <row r="62" spans="1:9" x14ac:dyDescent="0.25">
      <c r="A62" s="4"/>
      <c r="B62" s="6">
        <v>8</v>
      </c>
      <c r="C62" s="3">
        <v>19</v>
      </c>
      <c r="D62" s="3">
        <v>27</v>
      </c>
      <c r="E62" s="3">
        <v>22</v>
      </c>
      <c r="F62" s="3">
        <v>22</v>
      </c>
      <c r="G62" s="3"/>
      <c r="H62" s="3">
        <v>23</v>
      </c>
      <c r="I62" s="10">
        <f t="shared" si="0"/>
        <v>22.6</v>
      </c>
    </row>
    <row r="63" spans="1:9" x14ac:dyDescent="0.25">
      <c r="A63" s="4"/>
      <c r="B63" s="6">
        <v>9</v>
      </c>
      <c r="C63" s="3">
        <v>21</v>
      </c>
      <c r="D63" s="3">
        <v>24</v>
      </c>
      <c r="E63" s="3">
        <v>22</v>
      </c>
      <c r="F63" s="3">
        <v>21</v>
      </c>
      <c r="G63" s="3">
        <v>22</v>
      </c>
      <c r="H63" s="3">
        <v>21</v>
      </c>
      <c r="I63" s="10">
        <f t="shared" si="0"/>
        <v>21.833333333333332</v>
      </c>
    </row>
    <row r="64" spans="1:9" x14ac:dyDescent="0.25">
      <c r="A64" s="4"/>
      <c r="B64" s="6">
        <v>10</v>
      </c>
      <c r="C64" s="3">
        <v>20</v>
      </c>
      <c r="D64" s="3">
        <v>21</v>
      </c>
      <c r="E64" s="3">
        <v>21</v>
      </c>
      <c r="F64" s="3">
        <v>20</v>
      </c>
      <c r="G64" s="3">
        <v>20</v>
      </c>
      <c r="H64" s="3">
        <v>21</v>
      </c>
      <c r="I64" s="10">
        <f t="shared" si="0"/>
        <v>20.5</v>
      </c>
    </row>
    <row r="65" spans="1:9" x14ac:dyDescent="0.25">
      <c r="A65" s="4"/>
      <c r="B65" s="6">
        <v>11</v>
      </c>
      <c r="C65" s="3">
        <v>21</v>
      </c>
      <c r="D65" s="3">
        <v>21</v>
      </c>
      <c r="E65" s="3">
        <v>31</v>
      </c>
      <c r="F65" s="3">
        <v>32</v>
      </c>
      <c r="G65" s="3">
        <v>34</v>
      </c>
      <c r="H65" s="3">
        <v>24</v>
      </c>
      <c r="I65" s="10">
        <f t="shared" si="0"/>
        <v>27.166666666666668</v>
      </c>
    </row>
    <row r="66" spans="1:9" x14ac:dyDescent="0.25">
      <c r="A66" s="4"/>
      <c r="B66" s="6">
        <v>12</v>
      </c>
      <c r="C66" s="3">
        <v>32</v>
      </c>
      <c r="D66" s="3">
        <v>20</v>
      </c>
      <c r="E66" s="3">
        <v>22</v>
      </c>
      <c r="F66" s="3">
        <v>21</v>
      </c>
      <c r="G66" s="3">
        <v>20</v>
      </c>
      <c r="H66" s="3">
        <v>25</v>
      </c>
      <c r="I66" s="10">
        <f t="shared" si="0"/>
        <v>23.333333333333332</v>
      </c>
    </row>
    <row r="67" spans="1:9" x14ac:dyDescent="0.25">
      <c r="A67" s="4"/>
      <c r="B67" s="6">
        <v>13</v>
      </c>
      <c r="C67" s="3">
        <v>20</v>
      </c>
      <c r="D67" s="3">
        <v>30</v>
      </c>
      <c r="E67" s="3">
        <v>32</v>
      </c>
      <c r="F67" s="3">
        <v>30</v>
      </c>
      <c r="G67" s="3">
        <v>32</v>
      </c>
      <c r="H67" s="3">
        <v>22</v>
      </c>
      <c r="I67" s="10">
        <f t="shared" si="0"/>
        <v>27.666666666666668</v>
      </c>
    </row>
    <row r="68" spans="1:9" x14ac:dyDescent="0.25">
      <c r="A68" s="4"/>
      <c r="B68" s="6">
        <v>14</v>
      </c>
      <c r="C68" s="3">
        <v>30</v>
      </c>
      <c r="D68" s="3">
        <v>22</v>
      </c>
      <c r="E68" s="3">
        <v>20</v>
      </c>
      <c r="F68" s="3">
        <v>22</v>
      </c>
      <c r="G68" s="3">
        <v>32</v>
      </c>
      <c r="H68" s="3">
        <v>30</v>
      </c>
      <c r="I68" s="10">
        <f t="shared" ref="I68:I131" si="1">AVERAGE(C68:H68)</f>
        <v>26</v>
      </c>
    </row>
    <row r="69" spans="1:9" x14ac:dyDescent="0.25">
      <c r="A69" s="4"/>
      <c r="B69" s="6">
        <v>15</v>
      </c>
      <c r="C69" s="3">
        <v>24</v>
      </c>
      <c r="D69" s="3">
        <v>21</v>
      </c>
      <c r="E69" s="3">
        <v>22</v>
      </c>
      <c r="F69" s="3">
        <v>20</v>
      </c>
      <c r="G69" s="3">
        <v>22</v>
      </c>
      <c r="H69" s="3">
        <v>22</v>
      </c>
      <c r="I69" s="10">
        <f t="shared" si="1"/>
        <v>21.833333333333332</v>
      </c>
    </row>
    <row r="70" spans="1:9" x14ac:dyDescent="0.25">
      <c r="A70" s="4"/>
      <c r="B70" s="6">
        <v>16</v>
      </c>
      <c r="C70" s="3">
        <v>21</v>
      </c>
      <c r="D70" s="3">
        <v>23</v>
      </c>
      <c r="E70" s="3">
        <v>24</v>
      </c>
      <c r="F70" s="3">
        <v>24</v>
      </c>
      <c r="G70" s="3">
        <v>26</v>
      </c>
      <c r="H70" s="3">
        <v>26</v>
      </c>
      <c r="I70" s="10">
        <f t="shared" si="1"/>
        <v>24</v>
      </c>
    </row>
    <row r="71" spans="1:9" x14ac:dyDescent="0.25">
      <c r="A71" s="4"/>
      <c r="B71" s="6">
        <v>17</v>
      </c>
      <c r="C71" s="3">
        <v>30</v>
      </c>
      <c r="D71" s="3">
        <v>30</v>
      </c>
      <c r="E71" s="3">
        <v>23</v>
      </c>
      <c r="F71" s="3">
        <v>26</v>
      </c>
      <c r="G71" s="3">
        <v>27</v>
      </c>
      <c r="H71" s="3">
        <v>27</v>
      </c>
      <c r="I71" s="10">
        <f t="shared" si="1"/>
        <v>27.166666666666668</v>
      </c>
    </row>
    <row r="72" spans="1:9" x14ac:dyDescent="0.25">
      <c r="A72" s="4"/>
      <c r="B72" s="6">
        <v>18</v>
      </c>
      <c r="C72" s="3">
        <v>28</v>
      </c>
      <c r="D72" s="3">
        <v>28</v>
      </c>
      <c r="E72" s="3"/>
      <c r="F72" s="3">
        <v>22</v>
      </c>
      <c r="G72" s="3">
        <v>22</v>
      </c>
      <c r="H72" s="3">
        <v>24</v>
      </c>
      <c r="I72" s="10">
        <f t="shared" si="1"/>
        <v>24.8</v>
      </c>
    </row>
    <row r="73" spans="1:9" x14ac:dyDescent="0.25">
      <c r="A73" s="4"/>
      <c r="B73" s="6">
        <v>19</v>
      </c>
      <c r="C73" s="3">
        <v>22</v>
      </c>
      <c r="D73" s="3">
        <v>22</v>
      </c>
      <c r="E73" s="3">
        <v>24</v>
      </c>
      <c r="F73" s="3">
        <v>24</v>
      </c>
      <c r="G73" s="3">
        <v>28</v>
      </c>
      <c r="H73" s="3">
        <v>28</v>
      </c>
      <c r="I73" s="10">
        <f t="shared" si="1"/>
        <v>24.666666666666668</v>
      </c>
    </row>
    <row r="74" spans="1:9" x14ac:dyDescent="0.25">
      <c r="A74" s="4"/>
      <c r="B74" s="6">
        <v>20</v>
      </c>
      <c r="C74" s="3">
        <v>28</v>
      </c>
      <c r="D74" s="3">
        <v>23</v>
      </c>
      <c r="E74" s="3">
        <v>23</v>
      </c>
      <c r="F74" s="3">
        <v>24</v>
      </c>
      <c r="G74" s="3">
        <v>26</v>
      </c>
      <c r="H74" s="3">
        <v>28</v>
      </c>
      <c r="I74" s="10">
        <f t="shared" si="1"/>
        <v>25.333333333333332</v>
      </c>
    </row>
    <row r="75" spans="1:9" x14ac:dyDescent="0.25">
      <c r="A75" s="4"/>
      <c r="B75" s="6">
        <v>21</v>
      </c>
      <c r="C75" s="3">
        <v>22</v>
      </c>
      <c r="D75" s="3">
        <v>22</v>
      </c>
      <c r="E75" s="3">
        <v>24</v>
      </c>
      <c r="F75" s="3"/>
      <c r="G75" s="3"/>
      <c r="H75" s="3">
        <v>28</v>
      </c>
      <c r="I75" s="10">
        <f t="shared" si="1"/>
        <v>24</v>
      </c>
    </row>
    <row r="76" spans="1:9" x14ac:dyDescent="0.25">
      <c r="A76" s="4"/>
      <c r="B76" s="6">
        <v>22</v>
      </c>
      <c r="C76" s="3">
        <v>26</v>
      </c>
      <c r="D76" s="3">
        <v>24</v>
      </c>
      <c r="E76" s="3">
        <v>26</v>
      </c>
      <c r="F76" s="3">
        <v>28</v>
      </c>
      <c r="G76" s="3">
        <v>28</v>
      </c>
      <c r="H76" s="3">
        <v>24</v>
      </c>
      <c r="I76" s="10">
        <f t="shared" si="1"/>
        <v>26</v>
      </c>
    </row>
    <row r="77" spans="1:9" x14ac:dyDescent="0.25">
      <c r="A77" s="4"/>
      <c r="B77" s="6">
        <v>23</v>
      </c>
      <c r="C77" s="3">
        <v>24</v>
      </c>
      <c r="D77" s="3">
        <v>28</v>
      </c>
      <c r="E77" s="3">
        <v>26</v>
      </c>
      <c r="F77" s="3">
        <v>28</v>
      </c>
      <c r="G77" s="3">
        <v>26</v>
      </c>
      <c r="H77" s="3">
        <v>28</v>
      </c>
      <c r="I77" s="10">
        <f t="shared" si="1"/>
        <v>26.666666666666668</v>
      </c>
    </row>
    <row r="78" spans="1:9" x14ac:dyDescent="0.25">
      <c r="A78" s="4"/>
      <c r="B78" s="6">
        <v>24</v>
      </c>
      <c r="C78" s="3">
        <v>26</v>
      </c>
      <c r="D78" s="3">
        <v>27</v>
      </c>
      <c r="E78" s="3">
        <v>26</v>
      </c>
      <c r="F78" s="3">
        <v>31</v>
      </c>
      <c r="G78" s="3">
        <v>28</v>
      </c>
      <c r="H78" s="3">
        <v>26</v>
      </c>
      <c r="I78" s="10">
        <f t="shared" si="1"/>
        <v>27.333333333333332</v>
      </c>
    </row>
    <row r="79" spans="1:9" x14ac:dyDescent="0.25">
      <c r="A79" s="4"/>
      <c r="B79" s="6">
        <v>25</v>
      </c>
      <c r="C79" s="3">
        <v>28</v>
      </c>
      <c r="D79" s="3">
        <v>28</v>
      </c>
      <c r="E79" s="3">
        <v>28</v>
      </c>
      <c r="F79" s="3">
        <v>26</v>
      </c>
      <c r="G79" s="3"/>
      <c r="H79" s="3">
        <v>28</v>
      </c>
      <c r="I79" s="10">
        <f t="shared" si="1"/>
        <v>27.6</v>
      </c>
    </row>
    <row r="80" spans="1:9" x14ac:dyDescent="0.25">
      <c r="A80" s="4"/>
      <c r="B80" s="6">
        <v>26</v>
      </c>
      <c r="C80" s="3">
        <v>26</v>
      </c>
      <c r="D80" s="3">
        <v>28</v>
      </c>
      <c r="E80" s="3">
        <v>28</v>
      </c>
      <c r="F80" s="3">
        <v>28</v>
      </c>
      <c r="G80" s="3">
        <v>28</v>
      </c>
      <c r="H80" s="3">
        <v>24</v>
      </c>
      <c r="I80" s="10">
        <f t="shared" si="1"/>
        <v>27</v>
      </c>
    </row>
    <row r="81" spans="1:9" x14ac:dyDescent="0.25">
      <c r="A81" s="4"/>
      <c r="B81" s="6">
        <v>27</v>
      </c>
      <c r="C81" s="3">
        <v>26</v>
      </c>
      <c r="D81" s="3">
        <v>28</v>
      </c>
      <c r="E81" s="3">
        <v>26</v>
      </c>
      <c r="F81" s="3">
        <v>26</v>
      </c>
      <c r="G81" s="3">
        <v>28</v>
      </c>
      <c r="H81" s="3">
        <v>26</v>
      </c>
      <c r="I81" s="10">
        <f t="shared" si="1"/>
        <v>26.666666666666668</v>
      </c>
    </row>
    <row r="82" spans="1:9" x14ac:dyDescent="0.25">
      <c r="A82" s="4"/>
      <c r="B82" s="6">
        <v>28</v>
      </c>
      <c r="C82" s="3">
        <v>26</v>
      </c>
      <c r="D82" s="3">
        <v>24</v>
      </c>
      <c r="E82" s="3">
        <v>24</v>
      </c>
      <c r="F82" s="3">
        <v>28</v>
      </c>
      <c r="G82" s="3">
        <v>28</v>
      </c>
      <c r="H82" s="3">
        <v>24</v>
      </c>
      <c r="I82" s="10">
        <f t="shared" si="1"/>
        <v>25.666666666666668</v>
      </c>
    </row>
    <row r="83" spans="1:9" x14ac:dyDescent="0.25">
      <c r="A83" s="4"/>
      <c r="B83" s="6">
        <v>29</v>
      </c>
      <c r="C83" s="3">
        <v>24</v>
      </c>
      <c r="D83" s="3">
        <v>24</v>
      </c>
      <c r="E83" s="3">
        <v>28</v>
      </c>
      <c r="F83" s="3">
        <v>27</v>
      </c>
      <c r="G83" s="3">
        <v>28</v>
      </c>
      <c r="H83" s="3">
        <v>24</v>
      </c>
      <c r="I83" s="10">
        <f t="shared" si="1"/>
        <v>25.833333333333332</v>
      </c>
    </row>
    <row r="84" spans="1:9" x14ac:dyDescent="0.25">
      <c r="A84" s="4"/>
      <c r="B84" s="6">
        <v>30</v>
      </c>
      <c r="C84" s="3">
        <v>24</v>
      </c>
      <c r="D84" s="3">
        <v>22</v>
      </c>
      <c r="E84" s="3">
        <v>24</v>
      </c>
      <c r="F84" s="3">
        <v>22</v>
      </c>
      <c r="G84" s="3">
        <v>24</v>
      </c>
      <c r="H84" s="3">
        <v>28</v>
      </c>
      <c r="I84" s="10">
        <f t="shared" si="1"/>
        <v>24</v>
      </c>
    </row>
    <row r="85" spans="1:9" x14ac:dyDescent="0.25">
      <c r="A85" s="4"/>
      <c r="B85" s="6">
        <v>31</v>
      </c>
      <c r="C85" s="3">
        <v>24</v>
      </c>
      <c r="D85" s="3">
        <v>22</v>
      </c>
      <c r="E85" s="3">
        <v>22</v>
      </c>
      <c r="F85" s="3">
        <v>32</v>
      </c>
      <c r="G85" s="3">
        <v>32</v>
      </c>
      <c r="H85" s="3">
        <v>32</v>
      </c>
      <c r="I85" s="10">
        <f t="shared" si="1"/>
        <v>27.333333333333332</v>
      </c>
    </row>
    <row r="86" spans="1:9" x14ac:dyDescent="0.25">
      <c r="A86" s="4"/>
      <c r="B86" s="6">
        <v>32</v>
      </c>
      <c r="C86" s="3">
        <v>32</v>
      </c>
      <c r="D86" s="3">
        <v>32</v>
      </c>
      <c r="E86" s="3">
        <v>32</v>
      </c>
      <c r="F86" s="3">
        <v>32</v>
      </c>
      <c r="G86" s="3">
        <v>34</v>
      </c>
      <c r="H86" s="3">
        <v>30</v>
      </c>
      <c r="I86" s="10">
        <f t="shared" si="1"/>
        <v>32</v>
      </c>
    </row>
    <row r="87" spans="1:9" x14ac:dyDescent="0.25">
      <c r="A87" s="4"/>
      <c r="B87" s="6">
        <v>33</v>
      </c>
      <c r="C87" s="3">
        <v>32</v>
      </c>
      <c r="D87" s="3">
        <v>30</v>
      </c>
      <c r="E87" s="3">
        <v>32</v>
      </c>
      <c r="F87" s="3">
        <v>32</v>
      </c>
      <c r="G87" s="3">
        <v>28</v>
      </c>
      <c r="H87" s="3">
        <v>28</v>
      </c>
      <c r="I87" s="10">
        <f t="shared" si="1"/>
        <v>30.333333333333332</v>
      </c>
    </row>
    <row r="88" spans="1:9" x14ac:dyDescent="0.25">
      <c r="A88" s="4"/>
      <c r="B88" s="6">
        <v>34</v>
      </c>
      <c r="C88" s="3"/>
      <c r="D88" s="3">
        <v>28</v>
      </c>
      <c r="E88" s="3">
        <v>28</v>
      </c>
      <c r="F88" s="3">
        <v>28</v>
      </c>
      <c r="G88" s="3">
        <v>32</v>
      </c>
      <c r="H88" s="3">
        <v>32</v>
      </c>
      <c r="I88" s="10">
        <f t="shared" si="1"/>
        <v>29.6</v>
      </c>
    </row>
    <row r="89" spans="1:9" x14ac:dyDescent="0.25">
      <c r="A89" s="4"/>
      <c r="B89" s="6">
        <v>35</v>
      </c>
      <c r="C89" s="3">
        <v>32</v>
      </c>
      <c r="D89" s="3">
        <v>32</v>
      </c>
      <c r="E89" s="3">
        <v>33</v>
      </c>
      <c r="F89" s="3">
        <v>32</v>
      </c>
      <c r="G89" s="3">
        <v>32</v>
      </c>
      <c r="H89" s="3"/>
      <c r="I89" s="10">
        <f t="shared" si="1"/>
        <v>32.200000000000003</v>
      </c>
    </row>
    <row r="90" spans="1:9" x14ac:dyDescent="0.25">
      <c r="A90" s="4"/>
      <c r="B90" s="6">
        <v>36</v>
      </c>
      <c r="C90" s="3">
        <v>27</v>
      </c>
      <c r="D90" s="3">
        <v>26</v>
      </c>
      <c r="E90" s="3">
        <v>28</v>
      </c>
      <c r="F90" s="3">
        <v>26</v>
      </c>
      <c r="G90" s="3">
        <v>28</v>
      </c>
      <c r="H90" s="3">
        <v>32</v>
      </c>
      <c r="I90" s="10">
        <f t="shared" si="1"/>
        <v>27.833333333333332</v>
      </c>
    </row>
    <row r="91" spans="1:9" x14ac:dyDescent="0.25">
      <c r="A91" s="4"/>
      <c r="B91" s="6">
        <v>37</v>
      </c>
      <c r="C91" s="3">
        <v>30</v>
      </c>
      <c r="D91" s="3">
        <v>28</v>
      </c>
      <c r="E91" s="3">
        <v>23</v>
      </c>
      <c r="F91" s="3">
        <v>24</v>
      </c>
      <c r="G91" s="3">
        <v>24</v>
      </c>
      <c r="H91" s="3">
        <v>26</v>
      </c>
      <c r="I91" s="10">
        <f t="shared" si="1"/>
        <v>25.833333333333332</v>
      </c>
    </row>
    <row r="92" spans="1:9" x14ac:dyDescent="0.25">
      <c r="A92" s="4"/>
      <c r="B92" s="6">
        <v>38</v>
      </c>
      <c r="C92" s="3"/>
      <c r="D92" s="3"/>
      <c r="E92" s="3">
        <v>28</v>
      </c>
      <c r="F92" s="3">
        <v>26</v>
      </c>
      <c r="G92" s="3">
        <v>30</v>
      </c>
      <c r="H92" s="3">
        <v>31</v>
      </c>
      <c r="I92" s="10">
        <f t="shared" si="1"/>
        <v>28.75</v>
      </c>
    </row>
    <row r="93" spans="1:9" x14ac:dyDescent="0.25">
      <c r="A93" s="4"/>
      <c r="B93" s="6">
        <v>39</v>
      </c>
      <c r="C93" s="3">
        <v>31</v>
      </c>
      <c r="D93" s="3">
        <v>32</v>
      </c>
      <c r="E93" s="3">
        <v>30</v>
      </c>
      <c r="F93" s="3">
        <v>31</v>
      </c>
      <c r="G93" s="3">
        <v>30</v>
      </c>
      <c r="H93" s="3">
        <v>30</v>
      </c>
      <c r="I93" s="10">
        <f t="shared" si="1"/>
        <v>30.666666666666668</v>
      </c>
    </row>
    <row r="94" spans="1:9" x14ac:dyDescent="0.25">
      <c r="A94" s="4"/>
      <c r="B94" s="6">
        <v>40</v>
      </c>
      <c r="C94" s="3">
        <v>30</v>
      </c>
      <c r="D94" s="3">
        <v>26</v>
      </c>
      <c r="E94" s="3">
        <v>26</v>
      </c>
      <c r="F94" s="3">
        <v>24</v>
      </c>
      <c r="G94" s="3">
        <v>26</v>
      </c>
      <c r="H94" s="3">
        <v>26</v>
      </c>
      <c r="I94" s="10">
        <f t="shared" si="1"/>
        <v>26.333333333333332</v>
      </c>
    </row>
    <row r="95" spans="1:9" x14ac:dyDescent="0.25">
      <c r="A95" s="4"/>
      <c r="B95" s="6">
        <v>41</v>
      </c>
      <c r="C95" s="3">
        <v>28</v>
      </c>
      <c r="D95" s="3">
        <v>28</v>
      </c>
      <c r="E95" s="3">
        <v>28</v>
      </c>
      <c r="F95" s="3">
        <v>26</v>
      </c>
      <c r="G95" s="3">
        <v>26</v>
      </c>
      <c r="H95" s="3">
        <v>27</v>
      </c>
      <c r="I95" s="10">
        <f t="shared" si="1"/>
        <v>27.166666666666668</v>
      </c>
    </row>
    <row r="96" spans="1:9" x14ac:dyDescent="0.25">
      <c r="A96" s="4"/>
      <c r="B96" s="6">
        <v>42</v>
      </c>
      <c r="C96" s="3">
        <v>28</v>
      </c>
      <c r="D96" s="3">
        <v>24</v>
      </c>
      <c r="E96" s="3">
        <v>26</v>
      </c>
      <c r="F96" s="3">
        <v>28</v>
      </c>
      <c r="G96" s="3">
        <v>28</v>
      </c>
      <c r="H96" s="3">
        <v>27</v>
      </c>
      <c r="I96" s="10">
        <f t="shared" si="1"/>
        <v>26.833333333333332</v>
      </c>
    </row>
    <row r="97" spans="1:9" x14ac:dyDescent="0.25">
      <c r="A97" s="4"/>
      <c r="B97" s="6">
        <v>43</v>
      </c>
      <c r="C97" s="3">
        <v>27</v>
      </c>
      <c r="D97" s="3">
        <v>32</v>
      </c>
      <c r="E97" s="3"/>
      <c r="F97" s="3">
        <v>31</v>
      </c>
      <c r="G97" s="3">
        <v>31</v>
      </c>
      <c r="H97" s="3">
        <v>30</v>
      </c>
      <c r="I97" s="10">
        <f t="shared" si="1"/>
        <v>30.2</v>
      </c>
    </row>
    <row r="98" spans="1:9" x14ac:dyDescent="0.25">
      <c r="A98" s="4"/>
      <c r="B98" s="6">
        <v>44</v>
      </c>
      <c r="C98" s="3">
        <v>31</v>
      </c>
      <c r="D98" s="3">
        <v>30</v>
      </c>
      <c r="E98" s="3">
        <v>30</v>
      </c>
      <c r="F98" s="3">
        <v>31</v>
      </c>
      <c r="G98" s="3">
        <v>27</v>
      </c>
      <c r="H98" s="3">
        <v>26</v>
      </c>
      <c r="I98" s="10">
        <f t="shared" si="1"/>
        <v>29.166666666666668</v>
      </c>
    </row>
    <row r="99" spans="1:9" x14ac:dyDescent="0.25">
      <c r="A99" s="4"/>
      <c r="B99" s="6">
        <v>45</v>
      </c>
      <c r="C99" s="3">
        <v>24</v>
      </c>
      <c r="D99" s="3">
        <v>24</v>
      </c>
      <c r="E99" s="3">
        <v>26</v>
      </c>
      <c r="F99" s="3">
        <v>28</v>
      </c>
      <c r="G99" s="3">
        <v>28</v>
      </c>
      <c r="H99" s="3">
        <v>28</v>
      </c>
      <c r="I99" s="10">
        <f t="shared" si="1"/>
        <v>26.333333333333332</v>
      </c>
    </row>
    <row r="100" spans="1:9" x14ac:dyDescent="0.25">
      <c r="A100" s="4"/>
      <c r="B100" s="6">
        <v>46</v>
      </c>
      <c r="C100" s="3">
        <v>28</v>
      </c>
      <c r="D100" s="3">
        <v>28</v>
      </c>
      <c r="E100" s="3">
        <v>26</v>
      </c>
      <c r="F100" s="3">
        <v>28</v>
      </c>
      <c r="G100" s="3"/>
      <c r="H100" s="3">
        <v>29</v>
      </c>
      <c r="I100" s="10">
        <f t="shared" si="1"/>
        <v>27.8</v>
      </c>
    </row>
    <row r="101" spans="1:9" x14ac:dyDescent="0.25">
      <c r="A101" s="4"/>
      <c r="B101" s="6">
        <v>47</v>
      </c>
      <c r="C101" s="3">
        <v>28</v>
      </c>
      <c r="D101" s="3">
        <v>26</v>
      </c>
      <c r="E101" s="3">
        <v>32</v>
      </c>
      <c r="F101" s="3">
        <v>30</v>
      </c>
      <c r="G101" s="3">
        <v>26</v>
      </c>
      <c r="H101" s="3">
        <v>28</v>
      </c>
      <c r="I101" s="10">
        <f t="shared" si="1"/>
        <v>28.333333333333332</v>
      </c>
    </row>
    <row r="102" spans="1:9" x14ac:dyDescent="0.25">
      <c r="A102" s="4"/>
      <c r="B102" s="6">
        <v>48</v>
      </c>
      <c r="C102" s="3">
        <v>28</v>
      </c>
      <c r="D102" s="3">
        <v>26</v>
      </c>
      <c r="E102" s="3">
        <v>24</v>
      </c>
      <c r="F102" s="3">
        <v>24</v>
      </c>
      <c r="G102" s="3">
        <v>26</v>
      </c>
      <c r="H102" s="3">
        <v>24</v>
      </c>
      <c r="I102" s="10">
        <f t="shared" si="1"/>
        <v>25.333333333333332</v>
      </c>
    </row>
    <row r="103" spans="1:9" x14ac:dyDescent="0.25">
      <c r="A103" s="4"/>
      <c r="B103" s="6">
        <v>49</v>
      </c>
      <c r="C103" s="3">
        <v>28</v>
      </c>
      <c r="D103" s="3">
        <v>24</v>
      </c>
      <c r="E103" s="3">
        <v>26</v>
      </c>
      <c r="F103" s="3">
        <v>26</v>
      </c>
      <c r="G103" s="3">
        <v>26</v>
      </c>
      <c r="H103" s="3">
        <v>28</v>
      </c>
      <c r="I103" s="10">
        <f t="shared" si="1"/>
        <v>26.333333333333332</v>
      </c>
    </row>
    <row r="104" spans="1:9" x14ac:dyDescent="0.25">
      <c r="A104" s="4"/>
      <c r="B104" s="6">
        <v>50</v>
      </c>
      <c r="C104" s="3">
        <v>26</v>
      </c>
      <c r="D104" s="3">
        <v>28</v>
      </c>
      <c r="E104" s="3">
        <v>28</v>
      </c>
      <c r="F104" s="3">
        <v>27</v>
      </c>
      <c r="G104" s="3">
        <v>28</v>
      </c>
      <c r="H104" s="3"/>
      <c r="I104" s="10">
        <f t="shared" si="1"/>
        <v>27.4</v>
      </c>
    </row>
    <row r="105" spans="1:9" x14ac:dyDescent="0.25">
      <c r="A105" s="4"/>
      <c r="B105" s="6">
        <v>51</v>
      </c>
      <c r="C105" s="3">
        <v>24</v>
      </c>
      <c r="D105" s="3">
        <v>22</v>
      </c>
      <c r="E105" s="3">
        <v>24</v>
      </c>
      <c r="F105" s="3">
        <v>24</v>
      </c>
      <c r="G105" s="3">
        <v>28</v>
      </c>
      <c r="H105" s="3">
        <v>28</v>
      </c>
      <c r="I105" s="10">
        <f t="shared" si="1"/>
        <v>25</v>
      </c>
    </row>
    <row r="106" spans="1:9" x14ac:dyDescent="0.25">
      <c r="A106" s="4"/>
      <c r="B106" s="6">
        <v>52</v>
      </c>
      <c r="C106" s="3">
        <v>26</v>
      </c>
      <c r="D106" s="3">
        <v>28</v>
      </c>
      <c r="E106" s="3"/>
      <c r="F106" s="3">
        <v>24</v>
      </c>
      <c r="G106" s="3">
        <v>22</v>
      </c>
      <c r="H106" s="3">
        <v>24</v>
      </c>
      <c r="I106" s="10">
        <f t="shared" si="1"/>
        <v>24.8</v>
      </c>
    </row>
    <row r="107" spans="1:9" x14ac:dyDescent="0.25">
      <c r="A107" s="2">
        <v>2025</v>
      </c>
      <c r="B107" s="6">
        <v>1</v>
      </c>
      <c r="C107" s="3">
        <v>26</v>
      </c>
      <c r="D107" s="3">
        <v>24</v>
      </c>
      <c r="E107" s="3">
        <v>28</v>
      </c>
      <c r="F107" s="3">
        <v>23</v>
      </c>
      <c r="G107" s="3">
        <v>24</v>
      </c>
      <c r="H107" s="3">
        <v>24</v>
      </c>
      <c r="I107" s="10">
        <f t="shared" si="1"/>
        <v>24.833333333333332</v>
      </c>
    </row>
    <row r="108" spans="1:9" x14ac:dyDescent="0.25">
      <c r="A108" s="4"/>
      <c r="B108" s="6">
        <v>2</v>
      </c>
      <c r="C108" s="3">
        <v>28</v>
      </c>
      <c r="D108" s="3">
        <v>28</v>
      </c>
      <c r="E108" s="3">
        <v>27</v>
      </c>
      <c r="F108" s="3">
        <v>28</v>
      </c>
      <c r="G108" s="3">
        <v>27</v>
      </c>
      <c r="H108" s="3">
        <v>26</v>
      </c>
      <c r="I108" s="10">
        <f t="shared" si="1"/>
        <v>27.333333333333332</v>
      </c>
    </row>
    <row r="109" spans="1:9" x14ac:dyDescent="0.25">
      <c r="A109" s="4"/>
      <c r="B109" s="6">
        <v>3</v>
      </c>
      <c r="C109" s="3"/>
      <c r="D109" s="3"/>
      <c r="E109" s="3">
        <v>26</v>
      </c>
      <c r="F109" s="3">
        <v>24</v>
      </c>
      <c r="G109" s="3">
        <v>28</v>
      </c>
      <c r="H109" s="3">
        <v>28</v>
      </c>
      <c r="I109" s="10">
        <f t="shared" si="1"/>
        <v>26.5</v>
      </c>
    </row>
    <row r="110" spans="1:9" x14ac:dyDescent="0.25">
      <c r="A110" s="4"/>
      <c r="B110" s="6">
        <v>4</v>
      </c>
      <c r="C110" s="3">
        <v>28</v>
      </c>
      <c r="D110" s="3">
        <v>28</v>
      </c>
      <c r="E110" s="3">
        <v>28</v>
      </c>
      <c r="F110" s="3">
        <v>28</v>
      </c>
      <c r="G110" s="3">
        <v>23</v>
      </c>
      <c r="H110" s="3">
        <v>22</v>
      </c>
      <c r="I110" s="10">
        <f t="shared" si="1"/>
        <v>26.166666666666668</v>
      </c>
    </row>
    <row r="111" spans="1:9" x14ac:dyDescent="0.25">
      <c r="A111" s="4"/>
      <c r="B111" s="6">
        <v>5</v>
      </c>
      <c r="C111" s="3">
        <v>24</v>
      </c>
      <c r="D111" s="3">
        <v>24</v>
      </c>
      <c r="E111" s="3">
        <v>22</v>
      </c>
      <c r="F111" s="3">
        <v>28</v>
      </c>
      <c r="G111" s="3">
        <v>30</v>
      </c>
      <c r="H111" s="3">
        <v>30</v>
      </c>
      <c r="I111" s="10">
        <f t="shared" si="1"/>
        <v>26.333333333333332</v>
      </c>
    </row>
    <row r="112" spans="1:9" x14ac:dyDescent="0.25">
      <c r="A112" s="4"/>
      <c r="B112" s="6">
        <v>6</v>
      </c>
      <c r="C112" s="3">
        <v>24</v>
      </c>
      <c r="D112" s="3"/>
      <c r="E112" s="3">
        <v>28</v>
      </c>
      <c r="F112" s="3">
        <v>18</v>
      </c>
      <c r="G112" s="3">
        <v>21</v>
      </c>
      <c r="H112" s="3">
        <v>18</v>
      </c>
      <c r="I112" s="10">
        <f t="shared" si="1"/>
        <v>21.8</v>
      </c>
    </row>
    <row r="113" spans="1:9" x14ac:dyDescent="0.25">
      <c r="A113" s="4"/>
      <c r="B113" s="6">
        <v>7</v>
      </c>
      <c r="C113" s="3">
        <v>22</v>
      </c>
      <c r="D113" s="3">
        <v>22</v>
      </c>
      <c r="E113" s="3">
        <v>22</v>
      </c>
      <c r="F113" s="3">
        <v>24</v>
      </c>
      <c r="G113" s="3">
        <v>22</v>
      </c>
      <c r="H113" s="3">
        <v>22</v>
      </c>
      <c r="I113" s="10">
        <f t="shared" si="1"/>
        <v>22.333333333333332</v>
      </c>
    </row>
    <row r="114" spans="1:9" x14ac:dyDescent="0.25">
      <c r="A114" s="4"/>
      <c r="B114" s="6">
        <v>8</v>
      </c>
      <c r="C114" s="3">
        <v>18</v>
      </c>
      <c r="D114" s="3">
        <v>18</v>
      </c>
      <c r="E114" s="3">
        <v>22</v>
      </c>
      <c r="F114" s="3">
        <v>20</v>
      </c>
      <c r="G114" s="3">
        <v>22</v>
      </c>
      <c r="H114" s="3">
        <v>24</v>
      </c>
      <c r="I114" s="10">
        <f t="shared" si="1"/>
        <v>20.666666666666668</v>
      </c>
    </row>
    <row r="115" spans="1:9" x14ac:dyDescent="0.25">
      <c r="A115" s="4"/>
      <c r="B115" s="6">
        <v>9</v>
      </c>
      <c r="C115" s="3">
        <v>22</v>
      </c>
      <c r="D115" s="3">
        <v>20</v>
      </c>
      <c r="E115" s="3">
        <v>26</v>
      </c>
      <c r="F115" s="3">
        <v>26</v>
      </c>
      <c r="G115" s="3">
        <v>24</v>
      </c>
      <c r="H115" s="3">
        <v>25</v>
      </c>
      <c r="I115" s="10">
        <f t="shared" si="1"/>
        <v>23.833333333333332</v>
      </c>
    </row>
    <row r="116" spans="1:9" x14ac:dyDescent="0.25">
      <c r="A116" s="4"/>
      <c r="B116" s="6">
        <v>10</v>
      </c>
      <c r="C116" s="3">
        <v>21</v>
      </c>
      <c r="D116" s="3">
        <v>20</v>
      </c>
      <c r="E116" s="3">
        <v>20</v>
      </c>
      <c r="F116" s="3">
        <v>23</v>
      </c>
      <c r="G116" s="3">
        <v>22</v>
      </c>
      <c r="H116" s="3">
        <v>25</v>
      </c>
      <c r="I116" s="10">
        <f t="shared" si="1"/>
        <v>21.833333333333332</v>
      </c>
    </row>
    <row r="117" spans="1:9" x14ac:dyDescent="0.25">
      <c r="A117" s="4"/>
      <c r="B117" s="6">
        <v>11</v>
      </c>
      <c r="C117" s="3">
        <v>30</v>
      </c>
      <c r="D117" s="3">
        <v>25</v>
      </c>
      <c r="E117" s="3">
        <v>23</v>
      </c>
      <c r="F117" s="3">
        <v>25</v>
      </c>
      <c r="G117" s="3">
        <v>30</v>
      </c>
      <c r="H117" s="3">
        <v>25</v>
      </c>
      <c r="I117" s="10">
        <f t="shared" si="1"/>
        <v>26.333333333333332</v>
      </c>
    </row>
    <row r="118" spans="1:9" x14ac:dyDescent="0.25">
      <c r="A118" s="4"/>
      <c r="B118" s="6">
        <v>12</v>
      </c>
      <c r="C118" s="3">
        <v>28</v>
      </c>
      <c r="D118" s="3">
        <v>26</v>
      </c>
      <c r="E118" s="3">
        <v>26</v>
      </c>
      <c r="F118" s="3">
        <v>25</v>
      </c>
      <c r="G118" s="3">
        <v>22</v>
      </c>
      <c r="H118" s="3">
        <v>26</v>
      </c>
      <c r="I118" s="10">
        <f t="shared" si="1"/>
        <v>25.5</v>
      </c>
    </row>
    <row r="119" spans="1:9" x14ac:dyDescent="0.25">
      <c r="A119" s="4"/>
      <c r="B119" s="6">
        <v>13</v>
      </c>
      <c r="C119" s="3">
        <v>22</v>
      </c>
      <c r="D119" s="3">
        <v>23</v>
      </c>
      <c r="E119" s="3">
        <v>18</v>
      </c>
      <c r="F119" s="3">
        <v>22</v>
      </c>
      <c r="G119" s="3">
        <v>26</v>
      </c>
      <c r="H119" s="3">
        <v>26</v>
      </c>
      <c r="I119" s="10">
        <f t="shared" si="1"/>
        <v>22.833333333333332</v>
      </c>
    </row>
    <row r="120" spans="1:9" x14ac:dyDescent="0.25">
      <c r="A120" s="4"/>
      <c r="B120" s="6">
        <v>14</v>
      </c>
      <c r="C120" s="3">
        <v>25</v>
      </c>
      <c r="D120" s="3"/>
      <c r="E120" s="3">
        <v>22</v>
      </c>
      <c r="F120" s="3">
        <v>22</v>
      </c>
      <c r="G120" s="3">
        <v>23</v>
      </c>
      <c r="H120" s="3">
        <v>26</v>
      </c>
      <c r="I120" s="10">
        <f t="shared" si="1"/>
        <v>23.6</v>
      </c>
    </row>
    <row r="121" spans="1:9" x14ac:dyDescent="0.25">
      <c r="A121" s="4"/>
      <c r="B121" s="6">
        <v>15</v>
      </c>
      <c r="C121" s="3">
        <v>22</v>
      </c>
      <c r="D121" s="3">
        <v>21</v>
      </c>
      <c r="E121" s="3">
        <v>22</v>
      </c>
      <c r="F121" s="3">
        <v>24</v>
      </c>
      <c r="G121" s="3"/>
      <c r="H121" s="3"/>
      <c r="I121" s="10">
        <f t="shared" si="1"/>
        <v>22.25</v>
      </c>
    </row>
    <row r="122" spans="1:9" x14ac:dyDescent="0.25">
      <c r="A122" s="4"/>
      <c r="B122" s="6">
        <v>16</v>
      </c>
      <c r="C122" s="3"/>
      <c r="D122" s="3"/>
      <c r="E122" s="3">
        <v>23</v>
      </c>
      <c r="F122" s="3">
        <v>24</v>
      </c>
      <c r="G122" s="3">
        <v>22</v>
      </c>
      <c r="H122" s="3">
        <v>26</v>
      </c>
      <c r="I122" s="10">
        <f t="shared" si="1"/>
        <v>23.75</v>
      </c>
    </row>
    <row r="123" spans="1:9" x14ac:dyDescent="0.25">
      <c r="A123" s="4"/>
      <c r="B123" s="6">
        <v>17</v>
      </c>
      <c r="C123" s="3">
        <v>31</v>
      </c>
      <c r="D123" s="3">
        <v>32</v>
      </c>
      <c r="E123" s="3">
        <v>26</v>
      </c>
      <c r="F123" s="3">
        <v>27</v>
      </c>
      <c r="G123" s="3">
        <v>25</v>
      </c>
      <c r="H123" s="3">
        <v>26</v>
      </c>
      <c r="I123" s="10">
        <f t="shared" si="1"/>
        <v>27.833333333333332</v>
      </c>
    </row>
    <row r="124" spans="1:9" x14ac:dyDescent="0.25">
      <c r="A124" s="4"/>
      <c r="B124" s="6">
        <v>18</v>
      </c>
      <c r="C124" s="3">
        <v>25</v>
      </c>
      <c r="D124" s="3">
        <v>20</v>
      </c>
      <c r="E124" s="3">
        <v>26</v>
      </c>
      <c r="F124" s="3"/>
      <c r="G124" s="3">
        <v>27</v>
      </c>
      <c r="H124" s="3">
        <v>27</v>
      </c>
      <c r="I124" s="10">
        <f t="shared" si="1"/>
        <v>25</v>
      </c>
    </row>
    <row r="125" spans="1:9" x14ac:dyDescent="0.25">
      <c r="A125" s="4"/>
      <c r="B125" s="6">
        <v>19</v>
      </c>
      <c r="C125" s="3">
        <v>30</v>
      </c>
      <c r="D125" s="3">
        <v>27</v>
      </c>
      <c r="E125" s="3">
        <v>28</v>
      </c>
      <c r="F125" s="3">
        <v>26</v>
      </c>
      <c r="G125" s="3">
        <v>25</v>
      </c>
      <c r="H125" s="3">
        <v>27</v>
      </c>
      <c r="I125" s="10">
        <f t="shared" si="1"/>
        <v>27.166666666666668</v>
      </c>
    </row>
    <row r="126" spans="1:9" x14ac:dyDescent="0.25">
      <c r="A126" s="4"/>
      <c r="B126" s="6">
        <v>20</v>
      </c>
      <c r="C126" s="3">
        <v>23</v>
      </c>
      <c r="D126" s="3">
        <v>24</v>
      </c>
      <c r="E126" s="3">
        <v>25</v>
      </c>
      <c r="F126" s="3">
        <v>26</v>
      </c>
      <c r="G126" s="3">
        <v>25</v>
      </c>
      <c r="H126" s="3">
        <v>24</v>
      </c>
      <c r="I126" s="10">
        <f t="shared" si="1"/>
        <v>24.5</v>
      </c>
    </row>
    <row r="127" spans="1:9" x14ac:dyDescent="0.25">
      <c r="A127" s="4"/>
      <c r="B127" s="6">
        <v>21</v>
      </c>
      <c r="C127" s="3">
        <v>23</v>
      </c>
      <c r="D127" s="3">
        <v>27</v>
      </c>
      <c r="E127" s="3">
        <v>27</v>
      </c>
      <c r="F127" s="3">
        <v>28</v>
      </c>
      <c r="G127" s="3">
        <v>26</v>
      </c>
      <c r="H127" s="3">
        <v>25</v>
      </c>
      <c r="I127" s="10">
        <f t="shared" si="1"/>
        <v>26</v>
      </c>
    </row>
    <row r="128" spans="1:9" x14ac:dyDescent="0.25">
      <c r="A128" s="4"/>
      <c r="B128" s="6">
        <v>22</v>
      </c>
      <c r="C128" s="3">
        <v>27</v>
      </c>
      <c r="D128" s="3">
        <v>27</v>
      </c>
      <c r="E128" s="3">
        <v>20</v>
      </c>
      <c r="F128" s="3">
        <v>26</v>
      </c>
      <c r="G128" s="3">
        <v>25</v>
      </c>
      <c r="H128" s="3">
        <v>28</v>
      </c>
      <c r="I128" s="10">
        <f t="shared" si="1"/>
        <v>25.5</v>
      </c>
    </row>
    <row r="129" spans="1:9" x14ac:dyDescent="0.25">
      <c r="A129" s="4"/>
      <c r="B129" s="6">
        <v>23</v>
      </c>
      <c r="C129" s="3">
        <v>25</v>
      </c>
      <c r="D129" s="3">
        <v>22</v>
      </c>
      <c r="E129" s="3">
        <v>22</v>
      </c>
      <c r="F129" s="3">
        <v>26</v>
      </c>
      <c r="G129" s="3">
        <v>26</v>
      </c>
      <c r="H129" s="3">
        <v>25</v>
      </c>
      <c r="I129" s="10">
        <f t="shared" si="1"/>
        <v>24.333333333333332</v>
      </c>
    </row>
    <row r="130" spans="1:9" x14ac:dyDescent="0.25">
      <c r="A130" s="4"/>
      <c r="B130" s="6">
        <v>24</v>
      </c>
      <c r="C130" s="3">
        <v>26</v>
      </c>
      <c r="D130" s="3"/>
      <c r="E130" s="3">
        <v>27</v>
      </c>
      <c r="F130" s="3">
        <v>27</v>
      </c>
      <c r="G130" s="3">
        <v>25</v>
      </c>
      <c r="H130" s="3">
        <v>25</v>
      </c>
      <c r="I130" s="10">
        <f t="shared" si="1"/>
        <v>26</v>
      </c>
    </row>
    <row r="131" spans="1:9" x14ac:dyDescent="0.25">
      <c r="A131" s="4"/>
      <c r="B131" s="6">
        <v>25</v>
      </c>
      <c r="C131" s="3">
        <v>23</v>
      </c>
      <c r="D131" s="3">
        <v>26</v>
      </c>
      <c r="E131" s="3">
        <v>26</v>
      </c>
      <c r="F131" s="3">
        <v>25</v>
      </c>
      <c r="G131" s="3">
        <v>25</v>
      </c>
      <c r="H131" s="3">
        <v>25</v>
      </c>
      <c r="I131" s="10">
        <f t="shared" si="1"/>
        <v>25</v>
      </c>
    </row>
    <row r="132" spans="1:9" x14ac:dyDescent="0.25">
      <c r="A132" s="4"/>
      <c r="B132" s="6">
        <v>26</v>
      </c>
      <c r="C132" s="3">
        <v>28</v>
      </c>
      <c r="D132" s="3">
        <v>26</v>
      </c>
      <c r="E132" s="3">
        <v>24</v>
      </c>
      <c r="F132" s="3">
        <v>27</v>
      </c>
      <c r="G132" s="3">
        <v>27</v>
      </c>
      <c r="H132" s="3">
        <v>27</v>
      </c>
      <c r="I132" s="10">
        <f t="shared" ref="I132:I159" si="2">AVERAGE(C132:H132)</f>
        <v>26.5</v>
      </c>
    </row>
    <row r="133" spans="1:9" x14ac:dyDescent="0.25">
      <c r="A133" s="4"/>
      <c r="B133" s="6">
        <v>27</v>
      </c>
      <c r="C133" s="3">
        <v>27</v>
      </c>
      <c r="D133" s="3">
        <v>26</v>
      </c>
      <c r="E133" s="3">
        <v>25</v>
      </c>
      <c r="F133" s="3">
        <v>27</v>
      </c>
      <c r="G133" s="3">
        <v>25</v>
      </c>
      <c r="H133" s="3">
        <v>28</v>
      </c>
      <c r="I133" s="10">
        <f t="shared" si="2"/>
        <v>26.333333333333332</v>
      </c>
    </row>
    <row r="134" spans="1:9" x14ac:dyDescent="0.25">
      <c r="A134" s="4"/>
      <c r="B134" s="6">
        <v>28</v>
      </c>
      <c r="C134" s="3">
        <v>26</v>
      </c>
      <c r="D134" s="3">
        <v>25</v>
      </c>
      <c r="E134" s="3">
        <v>27</v>
      </c>
      <c r="F134" s="3"/>
      <c r="G134" s="3">
        <v>25</v>
      </c>
      <c r="H134" s="3">
        <v>27</v>
      </c>
      <c r="I134" s="10">
        <f t="shared" si="2"/>
        <v>26</v>
      </c>
    </row>
    <row r="135" spans="1:9" x14ac:dyDescent="0.25">
      <c r="A135" s="4"/>
      <c r="B135" s="6">
        <v>29</v>
      </c>
      <c r="C135" s="3">
        <v>27</v>
      </c>
      <c r="D135" s="3">
        <v>26</v>
      </c>
      <c r="E135" s="3">
        <v>26</v>
      </c>
      <c r="F135" s="3">
        <v>28</v>
      </c>
      <c r="G135" s="3">
        <v>28</v>
      </c>
      <c r="H135" s="3">
        <v>28</v>
      </c>
      <c r="I135" s="10">
        <f t="shared" si="2"/>
        <v>27.166666666666668</v>
      </c>
    </row>
    <row r="136" spans="1:9" x14ac:dyDescent="0.25">
      <c r="A136" s="4"/>
      <c r="B136" s="6">
        <v>30</v>
      </c>
      <c r="C136" s="3">
        <v>25</v>
      </c>
      <c r="D136" s="3">
        <v>32</v>
      </c>
      <c r="E136" s="3">
        <v>26</v>
      </c>
      <c r="F136" s="3">
        <v>28</v>
      </c>
      <c r="G136" s="3">
        <v>27</v>
      </c>
      <c r="H136" s="3">
        <v>25</v>
      </c>
      <c r="I136" s="10">
        <f t="shared" si="2"/>
        <v>27.166666666666668</v>
      </c>
    </row>
    <row r="137" spans="1:9" x14ac:dyDescent="0.25">
      <c r="A137" s="4"/>
      <c r="B137" s="6">
        <v>31</v>
      </c>
      <c r="C137" s="3">
        <v>24</v>
      </c>
      <c r="D137" s="3">
        <v>25</v>
      </c>
      <c r="E137" s="3">
        <v>26</v>
      </c>
      <c r="F137" s="3">
        <v>25</v>
      </c>
      <c r="G137" s="3">
        <v>27</v>
      </c>
      <c r="H137" s="3">
        <v>26</v>
      </c>
      <c r="I137" s="10">
        <f t="shared" si="2"/>
        <v>25.5</v>
      </c>
    </row>
    <row r="138" spans="1:9" x14ac:dyDescent="0.25">
      <c r="A138" s="4"/>
      <c r="B138" s="6">
        <v>32</v>
      </c>
      <c r="C138" s="3">
        <v>25</v>
      </c>
      <c r="D138" s="3">
        <v>26</v>
      </c>
      <c r="E138" s="3">
        <v>30</v>
      </c>
      <c r="F138" s="3">
        <v>24</v>
      </c>
      <c r="G138" s="3"/>
      <c r="H138" s="3">
        <v>25</v>
      </c>
      <c r="I138" s="10">
        <f t="shared" si="2"/>
        <v>26</v>
      </c>
    </row>
    <row r="139" spans="1:9" x14ac:dyDescent="0.25">
      <c r="A139" s="4"/>
      <c r="B139" s="6">
        <v>33</v>
      </c>
      <c r="C139" s="3">
        <v>24</v>
      </c>
      <c r="D139" s="3">
        <v>24</v>
      </c>
      <c r="E139" s="3">
        <v>25</v>
      </c>
      <c r="F139" s="3">
        <v>28</v>
      </c>
      <c r="G139" s="3">
        <v>25</v>
      </c>
      <c r="H139" s="3">
        <v>28</v>
      </c>
      <c r="I139" s="10">
        <f t="shared" si="2"/>
        <v>25.666666666666668</v>
      </c>
    </row>
    <row r="140" spans="1:9" x14ac:dyDescent="0.25">
      <c r="A140" s="4"/>
      <c r="B140" s="6">
        <v>34</v>
      </c>
      <c r="C140" s="3">
        <v>27</v>
      </c>
      <c r="D140" s="3">
        <v>28</v>
      </c>
      <c r="E140" s="3">
        <v>30</v>
      </c>
      <c r="F140" s="3">
        <v>25</v>
      </c>
      <c r="G140" s="3">
        <v>26</v>
      </c>
      <c r="H140" s="3">
        <v>28</v>
      </c>
      <c r="I140" s="10">
        <f t="shared" si="2"/>
        <v>27.333333333333332</v>
      </c>
    </row>
    <row r="141" spans="1:9" x14ac:dyDescent="0.25">
      <c r="A141" s="4"/>
      <c r="B141" s="6">
        <v>35</v>
      </c>
      <c r="C141" s="3">
        <v>28</v>
      </c>
      <c r="D141" s="3">
        <v>28</v>
      </c>
      <c r="E141" s="3">
        <v>27</v>
      </c>
      <c r="F141" s="3">
        <v>28</v>
      </c>
      <c r="G141" s="3">
        <v>30</v>
      </c>
      <c r="H141" s="3">
        <v>26</v>
      </c>
      <c r="I141" s="10">
        <f t="shared" si="2"/>
        <v>27.833333333333332</v>
      </c>
    </row>
    <row r="142" spans="1:9" x14ac:dyDescent="0.25">
      <c r="A142" s="4"/>
      <c r="B142" s="6">
        <v>36</v>
      </c>
      <c r="C142" s="3">
        <v>28</v>
      </c>
      <c r="D142" s="3">
        <v>29</v>
      </c>
      <c r="E142" s="3">
        <v>28</v>
      </c>
      <c r="F142" s="3">
        <v>28</v>
      </c>
      <c r="G142" s="3"/>
      <c r="H142" s="3">
        <v>28</v>
      </c>
      <c r="I142" s="10">
        <f t="shared" si="2"/>
        <v>28.2</v>
      </c>
    </row>
    <row r="143" spans="1:9" x14ac:dyDescent="0.25">
      <c r="A143" s="4"/>
      <c r="B143" s="6">
        <v>37</v>
      </c>
      <c r="C143" s="3">
        <v>25</v>
      </c>
      <c r="D143" s="3">
        <v>28</v>
      </c>
      <c r="E143" s="3">
        <v>29</v>
      </c>
      <c r="F143" s="3">
        <v>26</v>
      </c>
      <c r="G143" s="3">
        <v>30</v>
      </c>
      <c r="H143" s="3">
        <v>29</v>
      </c>
      <c r="I143" s="10">
        <f t="shared" si="2"/>
        <v>27.833333333333332</v>
      </c>
    </row>
    <row r="144" spans="1:9" x14ac:dyDescent="0.25">
      <c r="A144" s="4"/>
      <c r="B144" s="6">
        <v>38</v>
      </c>
      <c r="C144" s="3">
        <v>28</v>
      </c>
      <c r="D144" s="3">
        <v>27</v>
      </c>
      <c r="E144" s="3">
        <v>25</v>
      </c>
      <c r="F144" s="3">
        <v>26</v>
      </c>
      <c r="G144" s="3">
        <v>25</v>
      </c>
      <c r="H144" s="3">
        <v>25</v>
      </c>
      <c r="I144" s="10">
        <f t="shared" si="2"/>
        <v>26</v>
      </c>
    </row>
    <row r="145" spans="1:10" x14ac:dyDescent="0.25">
      <c r="A145" s="4"/>
      <c r="B145" s="6">
        <v>39</v>
      </c>
      <c r="C145" s="3">
        <v>27</v>
      </c>
      <c r="D145" s="3">
        <v>29</v>
      </c>
      <c r="E145" s="3">
        <v>29</v>
      </c>
      <c r="F145" s="3">
        <v>29</v>
      </c>
      <c r="G145" s="3">
        <v>25</v>
      </c>
      <c r="H145" s="3">
        <v>25</v>
      </c>
      <c r="I145" s="10">
        <f t="shared" si="2"/>
        <v>27.333333333333332</v>
      </c>
    </row>
    <row r="146" spans="1:10" x14ac:dyDescent="0.25">
      <c r="A146" s="4"/>
      <c r="B146" s="6">
        <v>40</v>
      </c>
      <c r="C146" s="3">
        <v>26</v>
      </c>
      <c r="D146" s="3">
        <v>28</v>
      </c>
      <c r="E146" s="3">
        <v>26</v>
      </c>
      <c r="F146" s="3">
        <v>28</v>
      </c>
      <c r="G146" s="3">
        <v>28</v>
      </c>
      <c r="H146" s="3">
        <v>28</v>
      </c>
      <c r="I146" s="10">
        <f t="shared" si="2"/>
        <v>27.333333333333332</v>
      </c>
    </row>
    <row r="147" spans="1:10" x14ac:dyDescent="0.25">
      <c r="A147" s="4"/>
      <c r="B147" s="6">
        <v>41</v>
      </c>
      <c r="C147" s="3"/>
      <c r="D147" s="3">
        <v>28</v>
      </c>
      <c r="E147" s="3">
        <v>30</v>
      </c>
      <c r="F147" s="3">
        <v>30</v>
      </c>
      <c r="G147" s="3">
        <v>32</v>
      </c>
      <c r="H147" s="3">
        <v>22</v>
      </c>
      <c r="I147" s="10">
        <f t="shared" si="2"/>
        <v>28.4</v>
      </c>
    </row>
    <row r="148" spans="1:10" x14ac:dyDescent="0.25">
      <c r="A148" s="4"/>
      <c r="B148" s="6">
        <v>42</v>
      </c>
      <c r="C148" s="3">
        <v>28</v>
      </c>
      <c r="D148" s="3">
        <v>27</v>
      </c>
      <c r="E148" s="3">
        <v>32</v>
      </c>
      <c r="F148" s="3">
        <v>28</v>
      </c>
      <c r="G148" s="3">
        <v>31</v>
      </c>
      <c r="H148" s="3">
        <v>22</v>
      </c>
      <c r="I148" s="10">
        <f t="shared" si="2"/>
        <v>28</v>
      </c>
    </row>
    <row r="149" spans="1:10" x14ac:dyDescent="0.25">
      <c r="A149" s="4"/>
      <c r="B149" s="6">
        <v>43</v>
      </c>
      <c r="C149" s="3">
        <v>29</v>
      </c>
      <c r="D149" s="3">
        <v>30</v>
      </c>
      <c r="E149" s="3">
        <v>28</v>
      </c>
      <c r="F149" s="3">
        <v>24</v>
      </c>
      <c r="G149" s="3">
        <v>22</v>
      </c>
      <c r="H149" s="3">
        <v>20</v>
      </c>
      <c r="I149" s="10">
        <f t="shared" si="2"/>
        <v>25.5</v>
      </c>
    </row>
    <row r="150" spans="1:10" x14ac:dyDescent="0.25">
      <c r="A150" s="4"/>
      <c r="B150" s="6">
        <v>44</v>
      </c>
      <c r="C150" s="3">
        <v>30</v>
      </c>
      <c r="D150" s="3">
        <v>30</v>
      </c>
      <c r="E150" s="3">
        <v>28</v>
      </c>
      <c r="F150" s="3">
        <v>23</v>
      </c>
      <c r="G150" s="3"/>
      <c r="H150" s="3">
        <v>22</v>
      </c>
      <c r="I150" s="10">
        <f t="shared" si="2"/>
        <v>26.6</v>
      </c>
    </row>
    <row r="151" spans="1:10" x14ac:dyDescent="0.25">
      <c r="A151" s="4"/>
      <c r="B151" s="6">
        <v>45</v>
      </c>
      <c r="C151" s="3">
        <v>23</v>
      </c>
      <c r="D151" s="3">
        <v>25</v>
      </c>
      <c r="E151" s="3"/>
      <c r="F151" s="3">
        <v>21</v>
      </c>
      <c r="G151" s="3">
        <v>25</v>
      </c>
      <c r="H151" s="3">
        <v>26</v>
      </c>
      <c r="I151" s="10">
        <f t="shared" si="2"/>
        <v>24</v>
      </c>
    </row>
    <row r="152" spans="1:10" x14ac:dyDescent="0.25">
      <c r="A152" s="4"/>
      <c r="B152" s="6">
        <v>46</v>
      </c>
      <c r="C152" s="3">
        <v>28</v>
      </c>
      <c r="D152" s="3">
        <v>30</v>
      </c>
      <c r="E152" s="3">
        <v>30</v>
      </c>
      <c r="F152" s="3">
        <v>31</v>
      </c>
      <c r="G152" s="3">
        <v>22</v>
      </c>
      <c r="H152" s="3">
        <v>24</v>
      </c>
      <c r="I152" s="10">
        <f t="shared" si="2"/>
        <v>27.5</v>
      </c>
    </row>
    <row r="153" spans="1:10" x14ac:dyDescent="0.25">
      <c r="A153" s="4"/>
      <c r="B153" s="6">
        <v>47</v>
      </c>
      <c r="C153" s="3">
        <v>28</v>
      </c>
      <c r="D153" s="3">
        <v>28</v>
      </c>
      <c r="E153" s="3">
        <v>22</v>
      </c>
      <c r="F153" s="3">
        <v>22</v>
      </c>
      <c r="G153" s="3">
        <v>28</v>
      </c>
      <c r="H153" s="3">
        <v>28</v>
      </c>
      <c r="I153" s="10">
        <f t="shared" si="2"/>
        <v>26</v>
      </c>
    </row>
    <row r="154" spans="1:10" x14ac:dyDescent="0.25">
      <c r="A154" s="4"/>
      <c r="B154" s="6">
        <v>48</v>
      </c>
      <c r="C154" s="3">
        <v>23</v>
      </c>
      <c r="D154" s="3">
        <v>22</v>
      </c>
      <c r="E154" s="3">
        <v>22</v>
      </c>
      <c r="F154" s="3">
        <v>20</v>
      </c>
      <c r="G154" s="3">
        <v>20</v>
      </c>
      <c r="H154" s="3">
        <v>21</v>
      </c>
      <c r="I154" s="10">
        <f t="shared" si="2"/>
        <v>21.333333333333332</v>
      </c>
    </row>
    <row r="155" spans="1:10" x14ac:dyDescent="0.25">
      <c r="A155" s="4"/>
      <c r="B155" s="6">
        <v>49</v>
      </c>
      <c r="C155" s="3">
        <v>29</v>
      </c>
      <c r="D155" s="3">
        <v>30</v>
      </c>
      <c r="E155" s="3">
        <v>18</v>
      </c>
      <c r="F155" s="3">
        <v>25</v>
      </c>
      <c r="G155" s="3">
        <v>27</v>
      </c>
      <c r="H155" s="3">
        <v>24</v>
      </c>
      <c r="I155" s="10">
        <f t="shared" si="2"/>
        <v>25.5</v>
      </c>
    </row>
    <row r="156" spans="1:10" x14ac:dyDescent="0.25">
      <c r="A156" s="4"/>
      <c r="B156" s="6">
        <v>50</v>
      </c>
      <c r="C156" s="3">
        <v>24</v>
      </c>
      <c r="D156" s="3">
        <v>32</v>
      </c>
      <c r="E156" s="3">
        <v>20</v>
      </c>
      <c r="F156" s="3"/>
      <c r="G156" s="3">
        <v>30</v>
      </c>
      <c r="H156" s="3">
        <v>21</v>
      </c>
      <c r="I156" s="10">
        <f t="shared" si="2"/>
        <v>25.4</v>
      </c>
    </row>
    <row r="157" spans="1:10" x14ac:dyDescent="0.25">
      <c r="A157" s="4"/>
      <c r="B157" s="6">
        <v>51</v>
      </c>
      <c r="C157" s="3">
        <v>20</v>
      </c>
      <c r="D157" s="3"/>
      <c r="E157" s="3"/>
      <c r="F157" s="3">
        <v>20</v>
      </c>
      <c r="G157" s="3">
        <v>27</v>
      </c>
      <c r="H157" s="3">
        <v>21</v>
      </c>
      <c r="I157" s="10">
        <f t="shared" si="2"/>
        <v>22</v>
      </c>
    </row>
    <row r="158" spans="1:10" x14ac:dyDescent="0.25">
      <c r="A158" s="19"/>
      <c r="B158" s="20">
        <v>52</v>
      </c>
      <c r="C158" s="21">
        <v>22</v>
      </c>
      <c r="D158" s="21">
        <v>22</v>
      </c>
      <c r="E158" s="21">
        <v>21</v>
      </c>
      <c r="F158" s="21">
        <v>28</v>
      </c>
      <c r="G158" s="21">
        <v>21</v>
      </c>
      <c r="H158" s="21"/>
      <c r="I158" s="10">
        <f t="shared" si="2"/>
        <v>22.8</v>
      </c>
    </row>
    <row r="159" spans="1:10" x14ac:dyDescent="0.25">
      <c r="A159" s="16">
        <v>2026</v>
      </c>
      <c r="B159" s="22">
        <v>1</v>
      </c>
      <c r="C159" s="23">
        <v>25</v>
      </c>
      <c r="D159" s="23">
        <v>24</v>
      </c>
      <c r="E159" s="23">
        <v>22</v>
      </c>
      <c r="F159" s="23">
        <v>24</v>
      </c>
      <c r="G159" s="23">
        <v>22</v>
      </c>
      <c r="H159" s="23">
        <v>24</v>
      </c>
      <c r="I159" s="10">
        <f t="shared" si="2"/>
        <v>23.5</v>
      </c>
      <c r="J159" s="24"/>
    </row>
    <row r="160" spans="1:10" x14ac:dyDescent="0.25">
      <c r="A160" s="4"/>
      <c r="B160" s="22">
        <v>2</v>
      </c>
      <c r="C160" s="23">
        <v>24</v>
      </c>
      <c r="D160" s="23">
        <v>28</v>
      </c>
      <c r="E160" s="23">
        <v>30</v>
      </c>
      <c r="F160" s="3" t="s">
        <v>26</v>
      </c>
      <c r="G160" s="23">
        <v>30</v>
      </c>
      <c r="H160" s="23">
        <v>31</v>
      </c>
      <c r="I160" s="10">
        <v>28.6</v>
      </c>
      <c r="J160" s="24"/>
    </row>
    <row r="161" spans="1:10" x14ac:dyDescent="0.25">
      <c r="A161" s="4"/>
      <c r="B161" s="22">
        <v>3</v>
      </c>
      <c r="C161" s="23">
        <v>28</v>
      </c>
      <c r="D161" s="23">
        <v>23</v>
      </c>
      <c r="E161" s="23">
        <v>22</v>
      </c>
      <c r="F161" s="23">
        <v>24</v>
      </c>
      <c r="G161" s="23">
        <v>21</v>
      </c>
      <c r="H161" s="23">
        <v>22</v>
      </c>
      <c r="I161" s="10">
        <f>AVERAGE(C161:H161)</f>
        <v>23.333333333333332</v>
      </c>
      <c r="J161" s="24"/>
    </row>
    <row r="162" spans="1:10" x14ac:dyDescent="0.25">
      <c r="A162" s="4"/>
      <c r="B162" s="22">
        <v>4</v>
      </c>
      <c r="C162" s="23">
        <v>21</v>
      </c>
      <c r="D162" s="23">
        <v>22</v>
      </c>
      <c r="E162" s="23">
        <v>22</v>
      </c>
      <c r="F162" s="23">
        <v>21</v>
      </c>
      <c r="G162" s="23">
        <v>22</v>
      </c>
      <c r="H162" s="23">
        <v>30</v>
      </c>
      <c r="I162" s="10">
        <f>AVERAGE(C162:H162)</f>
        <v>23</v>
      </c>
      <c r="J162" s="24"/>
    </row>
    <row r="163" spans="1:10" x14ac:dyDescent="0.25">
      <c r="A163" s="4"/>
      <c r="B163" s="22">
        <v>5</v>
      </c>
      <c r="C163" s="23">
        <v>28</v>
      </c>
      <c r="D163" s="23">
        <v>26</v>
      </c>
      <c r="E163" s="3" t="s">
        <v>26</v>
      </c>
      <c r="F163" s="23">
        <v>24</v>
      </c>
      <c r="G163" s="23">
        <v>22</v>
      </c>
      <c r="H163" s="23">
        <v>21</v>
      </c>
      <c r="I163" s="10">
        <f>AVERAGE(C163:H163)</f>
        <v>24.2</v>
      </c>
      <c r="J163" s="24"/>
    </row>
    <row r="164" spans="1:10" x14ac:dyDescent="0.25">
      <c r="A164" s="4"/>
      <c r="B164" s="22">
        <v>6</v>
      </c>
      <c r="C164" s="23">
        <v>22</v>
      </c>
      <c r="D164" s="23">
        <v>28</v>
      </c>
      <c r="E164" s="23">
        <v>29</v>
      </c>
      <c r="F164" s="23">
        <v>26</v>
      </c>
      <c r="G164" s="23">
        <v>24</v>
      </c>
      <c r="H164" s="23">
        <v>23</v>
      </c>
      <c r="I164" s="10">
        <f>AVERAGE(C164:H164)</f>
        <v>25.333333333333332</v>
      </c>
      <c r="J164" s="24"/>
    </row>
    <row r="165" spans="1:10" x14ac:dyDescent="0.25">
      <c r="A165" s="4"/>
      <c r="B165" s="22">
        <v>7</v>
      </c>
      <c r="C165" s="23">
        <v>21</v>
      </c>
      <c r="D165" s="23">
        <v>24</v>
      </c>
      <c r="E165" s="23">
        <v>26</v>
      </c>
      <c r="F165" s="23">
        <v>24</v>
      </c>
      <c r="G165" s="23">
        <v>25</v>
      </c>
      <c r="H165" s="23">
        <v>24</v>
      </c>
      <c r="I165" s="10">
        <f t="shared" ref="I165:I197" si="3">AVERAGE(C165:H165)</f>
        <v>24</v>
      </c>
      <c r="J165" s="24"/>
    </row>
    <row r="166" spans="1:10" x14ac:dyDescent="0.25">
      <c r="A166" s="4"/>
      <c r="B166" s="22">
        <v>8</v>
      </c>
      <c r="C166" s="23">
        <v>26</v>
      </c>
      <c r="D166" s="23">
        <v>25</v>
      </c>
      <c r="E166" s="23">
        <v>21</v>
      </c>
      <c r="F166" s="23">
        <v>21</v>
      </c>
      <c r="G166" s="23">
        <v>20</v>
      </c>
      <c r="H166" s="23">
        <v>23</v>
      </c>
      <c r="I166" s="10">
        <f t="shared" si="3"/>
        <v>22.666666666666668</v>
      </c>
      <c r="J166" s="24"/>
    </row>
    <row r="167" spans="1:10" x14ac:dyDescent="0.25">
      <c r="A167" s="4"/>
      <c r="B167" s="22">
        <v>9</v>
      </c>
      <c r="C167" s="3" t="s">
        <v>27</v>
      </c>
      <c r="D167" s="23">
        <v>21</v>
      </c>
      <c r="E167" s="23">
        <v>22</v>
      </c>
      <c r="F167" s="23">
        <v>24</v>
      </c>
      <c r="G167" s="23">
        <v>35</v>
      </c>
      <c r="H167" s="23">
        <v>22</v>
      </c>
      <c r="I167" s="10">
        <f t="shared" si="3"/>
        <v>24.8</v>
      </c>
      <c r="J167" s="24"/>
    </row>
    <row r="168" spans="1:10" x14ac:dyDescent="0.25">
      <c r="A168" s="4"/>
      <c r="B168" s="22">
        <v>10</v>
      </c>
      <c r="C168" s="23">
        <v>24</v>
      </c>
      <c r="D168" s="23">
        <v>21</v>
      </c>
      <c r="E168" s="23">
        <v>20</v>
      </c>
      <c r="F168" s="23">
        <v>21</v>
      </c>
      <c r="G168" s="23">
        <v>24</v>
      </c>
      <c r="H168" s="23">
        <v>22</v>
      </c>
      <c r="I168" s="10">
        <f t="shared" si="3"/>
        <v>22</v>
      </c>
      <c r="J168" s="24"/>
    </row>
    <row r="169" spans="1:10" x14ac:dyDescent="0.25">
      <c r="A169" s="4"/>
      <c r="B169" s="22">
        <v>11</v>
      </c>
      <c r="C169" s="23">
        <v>30</v>
      </c>
      <c r="D169" s="23">
        <v>21</v>
      </c>
      <c r="E169" s="23">
        <v>30</v>
      </c>
      <c r="F169" s="23">
        <v>31</v>
      </c>
      <c r="G169" s="23">
        <v>22</v>
      </c>
      <c r="H169" s="23">
        <v>27</v>
      </c>
      <c r="I169" s="10">
        <f t="shared" si="3"/>
        <v>26.833333333333332</v>
      </c>
      <c r="J169" s="24"/>
    </row>
    <row r="170" spans="1:10" x14ac:dyDescent="0.25">
      <c r="A170" s="4"/>
      <c r="B170" s="22">
        <v>12</v>
      </c>
      <c r="C170" s="23">
        <v>30</v>
      </c>
      <c r="D170" s="23">
        <v>30</v>
      </c>
      <c r="E170" s="23">
        <v>28</v>
      </c>
      <c r="F170" s="23">
        <v>27</v>
      </c>
      <c r="G170" s="23">
        <v>27</v>
      </c>
      <c r="H170" s="23">
        <v>25</v>
      </c>
      <c r="I170" s="10">
        <f t="shared" si="3"/>
        <v>27.833333333333332</v>
      </c>
      <c r="J170" s="24"/>
    </row>
    <row r="171" spans="1:10" x14ac:dyDescent="0.25">
      <c r="A171" s="4"/>
      <c r="B171" s="22">
        <v>13</v>
      </c>
      <c r="C171" s="23">
        <v>29</v>
      </c>
      <c r="D171" s="23">
        <v>24</v>
      </c>
      <c r="E171" s="3" t="s">
        <v>27</v>
      </c>
      <c r="F171" s="23">
        <v>24</v>
      </c>
      <c r="G171" s="23">
        <v>29</v>
      </c>
      <c r="H171" s="23">
        <v>22</v>
      </c>
      <c r="I171" s="10">
        <f t="shared" si="3"/>
        <v>25.6</v>
      </c>
      <c r="J171" s="24"/>
    </row>
    <row r="172" spans="1:10" x14ac:dyDescent="0.25">
      <c r="A172" s="4"/>
      <c r="B172" s="22">
        <v>14</v>
      </c>
      <c r="C172" s="23">
        <v>21</v>
      </c>
      <c r="D172" s="23">
        <v>22</v>
      </c>
      <c r="E172" s="23">
        <v>24</v>
      </c>
      <c r="F172" s="23">
        <v>33</v>
      </c>
      <c r="G172" s="23">
        <v>32</v>
      </c>
      <c r="H172" s="23">
        <v>28</v>
      </c>
      <c r="I172" s="10">
        <f t="shared" si="3"/>
        <v>26.666666666666668</v>
      </c>
      <c r="J172" s="24"/>
    </row>
    <row r="173" spans="1:10" x14ac:dyDescent="0.25">
      <c r="A173" s="4"/>
      <c r="B173" s="22">
        <v>15</v>
      </c>
      <c r="C173" s="3"/>
      <c r="D173" s="3"/>
      <c r="E173" s="3"/>
      <c r="F173" s="23">
        <v>27</v>
      </c>
      <c r="G173" s="23">
        <v>23</v>
      </c>
      <c r="H173" s="3"/>
      <c r="I173" s="10">
        <f t="shared" si="3"/>
        <v>25</v>
      </c>
      <c r="J173" s="24"/>
    </row>
    <row r="174" spans="1:10" x14ac:dyDescent="0.25">
      <c r="A174" s="4"/>
      <c r="B174" s="22">
        <v>16</v>
      </c>
      <c r="C174" s="23">
        <v>28</v>
      </c>
      <c r="D174" s="23">
        <v>24</v>
      </c>
      <c r="E174" s="23">
        <v>25</v>
      </c>
      <c r="F174" s="23">
        <v>28</v>
      </c>
      <c r="G174" s="23">
        <v>25</v>
      </c>
      <c r="H174" s="23">
        <v>24</v>
      </c>
      <c r="I174" s="10">
        <f t="shared" si="3"/>
        <v>25.666666666666668</v>
      </c>
      <c r="J174" s="24"/>
    </row>
    <row r="175" spans="1:10" x14ac:dyDescent="0.25">
      <c r="A175" s="4"/>
      <c r="B175" s="22">
        <v>17</v>
      </c>
      <c r="C175" s="23">
        <v>25</v>
      </c>
      <c r="D175" s="23">
        <v>26</v>
      </c>
      <c r="E175" s="3">
        <v>24</v>
      </c>
      <c r="F175" s="3"/>
      <c r="G175" s="3" t="s">
        <v>27</v>
      </c>
      <c r="H175" s="23">
        <v>24</v>
      </c>
      <c r="I175" s="10">
        <f t="shared" si="3"/>
        <v>24.75</v>
      </c>
      <c r="J175" s="24"/>
    </row>
    <row r="176" spans="1:10" x14ac:dyDescent="0.25">
      <c r="A176" s="4"/>
      <c r="B176" s="22">
        <v>18</v>
      </c>
      <c r="C176" s="23">
        <v>30</v>
      </c>
      <c r="D176" s="23">
        <v>24</v>
      </c>
      <c r="E176" s="23">
        <v>28</v>
      </c>
      <c r="F176" s="23">
        <v>30</v>
      </c>
      <c r="G176" s="23">
        <v>24</v>
      </c>
      <c r="H176" s="23">
        <v>32</v>
      </c>
      <c r="I176" s="10">
        <f t="shared" si="3"/>
        <v>28</v>
      </c>
      <c r="J176" s="24"/>
    </row>
    <row r="177" spans="1:10" x14ac:dyDescent="0.25">
      <c r="A177" s="4"/>
      <c r="B177" s="22">
        <v>19</v>
      </c>
      <c r="C177" s="23">
        <v>22</v>
      </c>
      <c r="D177" s="23">
        <v>27</v>
      </c>
      <c r="E177" s="3">
        <v>24</v>
      </c>
      <c r="F177" s="23">
        <v>22</v>
      </c>
      <c r="G177" s="23">
        <v>24</v>
      </c>
      <c r="H177" s="23">
        <v>27</v>
      </c>
      <c r="I177" s="10">
        <f t="shared" si="3"/>
        <v>24.333333333333332</v>
      </c>
      <c r="J177" s="24"/>
    </row>
    <row r="178" spans="1:10" x14ac:dyDescent="0.25">
      <c r="A178" s="4"/>
      <c r="B178" s="22">
        <v>20</v>
      </c>
      <c r="C178" s="23">
        <v>24</v>
      </c>
      <c r="D178" s="23">
        <v>27</v>
      </c>
      <c r="E178" s="23">
        <v>27</v>
      </c>
      <c r="F178" s="23">
        <v>25</v>
      </c>
      <c r="G178" s="23">
        <v>24</v>
      </c>
      <c r="H178" s="23">
        <v>22</v>
      </c>
      <c r="I178" s="10">
        <f t="shared" si="3"/>
        <v>24.833333333333332</v>
      </c>
      <c r="J178" s="24"/>
    </row>
    <row r="179" spans="1:10" x14ac:dyDescent="0.25">
      <c r="A179" s="4"/>
      <c r="B179" s="22">
        <v>21</v>
      </c>
      <c r="C179" s="3"/>
      <c r="D179" s="23">
        <v>27</v>
      </c>
      <c r="E179" s="3">
        <v>28</v>
      </c>
      <c r="F179" s="23">
        <v>23</v>
      </c>
      <c r="G179" s="23">
        <v>25</v>
      </c>
      <c r="H179" s="3" t="s">
        <v>27</v>
      </c>
      <c r="I179" s="10">
        <f t="shared" si="3"/>
        <v>25.75</v>
      </c>
      <c r="J179" s="24"/>
    </row>
    <row r="180" spans="1:10" x14ac:dyDescent="0.25">
      <c r="A180" s="4"/>
      <c r="B180" s="22">
        <v>22</v>
      </c>
      <c r="C180" s="3" t="s">
        <v>26</v>
      </c>
      <c r="D180" s="23">
        <v>23</v>
      </c>
      <c r="E180" s="3"/>
      <c r="F180" s="23">
        <v>28</v>
      </c>
      <c r="G180" s="23">
        <v>19</v>
      </c>
      <c r="H180" s="23">
        <v>21</v>
      </c>
      <c r="I180" s="10">
        <f t="shared" si="3"/>
        <v>22.75</v>
      </c>
      <c r="J180" s="24"/>
    </row>
    <row r="181" spans="1:10" x14ac:dyDescent="0.25">
      <c r="A181" s="4"/>
      <c r="B181" s="22">
        <v>23</v>
      </c>
      <c r="C181" s="23">
        <v>24</v>
      </c>
      <c r="D181" s="23">
        <v>24</v>
      </c>
      <c r="E181" s="3"/>
      <c r="F181" s="3"/>
      <c r="G181" s="23">
        <v>24</v>
      </c>
      <c r="H181" s="23">
        <v>24</v>
      </c>
      <c r="I181" s="10">
        <f t="shared" si="3"/>
        <v>24</v>
      </c>
      <c r="J181" s="24"/>
    </row>
    <row r="182" spans="1:10" x14ac:dyDescent="0.25">
      <c r="A182" s="4"/>
      <c r="B182" s="22">
        <v>24</v>
      </c>
      <c r="C182" s="23">
        <v>24</v>
      </c>
      <c r="D182" s="23">
        <v>26</v>
      </c>
      <c r="E182" s="3">
        <v>27</v>
      </c>
      <c r="F182" s="23">
        <v>27</v>
      </c>
      <c r="G182" s="23">
        <v>28</v>
      </c>
      <c r="H182" s="23">
        <v>24</v>
      </c>
      <c r="I182" s="10">
        <f t="shared" si="3"/>
        <v>26</v>
      </c>
      <c r="J182" s="24"/>
    </row>
    <row r="183" spans="1:10" x14ac:dyDescent="0.25">
      <c r="A183" s="4"/>
      <c r="B183" s="22">
        <v>25</v>
      </c>
      <c r="C183" s="23">
        <v>24</v>
      </c>
      <c r="D183" s="23">
        <v>22</v>
      </c>
      <c r="E183" s="3">
        <v>24</v>
      </c>
      <c r="F183" s="23">
        <v>22</v>
      </c>
      <c r="G183" s="23">
        <v>27</v>
      </c>
      <c r="H183" s="23">
        <v>26</v>
      </c>
      <c r="I183" s="10">
        <f t="shared" si="3"/>
        <v>24.166666666666668</v>
      </c>
      <c r="J183" s="24"/>
    </row>
    <row r="184" spans="1:10" x14ac:dyDescent="0.25">
      <c r="A184" s="4"/>
      <c r="B184" s="22">
        <v>26</v>
      </c>
      <c r="C184" s="3"/>
      <c r="D184" s="23">
        <v>24</v>
      </c>
      <c r="E184" s="3"/>
      <c r="F184" s="23">
        <v>29</v>
      </c>
      <c r="G184" s="23">
        <v>28</v>
      </c>
      <c r="H184" s="23">
        <v>29</v>
      </c>
      <c r="I184" s="10">
        <f t="shared" si="3"/>
        <v>27.5</v>
      </c>
      <c r="J184" s="24"/>
    </row>
    <row r="185" spans="1:10" x14ac:dyDescent="0.25">
      <c r="A185" s="4"/>
      <c r="B185" s="22">
        <v>27</v>
      </c>
      <c r="C185" s="23">
        <v>29</v>
      </c>
      <c r="D185" s="23">
        <v>28</v>
      </c>
      <c r="E185" s="3">
        <v>28</v>
      </c>
      <c r="F185" s="23">
        <v>26</v>
      </c>
      <c r="G185" s="23">
        <v>27</v>
      </c>
      <c r="H185" s="23">
        <v>24</v>
      </c>
      <c r="I185" s="10">
        <f t="shared" si="3"/>
        <v>27</v>
      </c>
      <c r="J185" s="24"/>
    </row>
    <row r="186" spans="1:10" x14ac:dyDescent="0.25">
      <c r="A186" s="4"/>
      <c r="B186" s="22">
        <v>28</v>
      </c>
      <c r="C186" s="23">
        <v>28</v>
      </c>
      <c r="D186" s="23">
        <v>26</v>
      </c>
      <c r="E186" s="3">
        <v>24</v>
      </c>
      <c r="F186" s="23">
        <v>25</v>
      </c>
      <c r="G186" s="23">
        <v>26</v>
      </c>
      <c r="H186" s="23">
        <v>24</v>
      </c>
      <c r="I186" s="10">
        <f t="shared" si="3"/>
        <v>25.5</v>
      </c>
      <c r="J186" s="24"/>
    </row>
    <row r="187" spans="1:10" x14ac:dyDescent="0.25">
      <c r="A187" s="4"/>
      <c r="B187" s="22">
        <v>29</v>
      </c>
      <c r="C187" s="23">
        <v>24</v>
      </c>
      <c r="D187" s="23">
        <v>24</v>
      </c>
      <c r="E187" s="3">
        <v>27</v>
      </c>
      <c r="F187" s="23">
        <v>24</v>
      </c>
      <c r="G187" s="23">
        <v>27</v>
      </c>
      <c r="H187" s="23">
        <v>28</v>
      </c>
      <c r="I187" s="10">
        <f t="shared" si="3"/>
        <v>25.666666666666668</v>
      </c>
      <c r="J187" s="24"/>
    </row>
    <row r="188" spans="1:10" x14ac:dyDescent="0.25">
      <c r="A188" s="4"/>
      <c r="B188" s="22">
        <v>30</v>
      </c>
      <c r="C188" s="23">
        <v>24</v>
      </c>
      <c r="D188" s="23">
        <v>28</v>
      </c>
      <c r="E188" s="3" t="s">
        <v>27</v>
      </c>
      <c r="F188" s="23">
        <v>24</v>
      </c>
      <c r="G188" s="23">
        <v>25</v>
      </c>
      <c r="H188" s="23">
        <v>27</v>
      </c>
      <c r="I188" s="10">
        <f t="shared" si="3"/>
        <v>25.6</v>
      </c>
      <c r="J188" s="24"/>
    </row>
    <row r="189" spans="1:10" x14ac:dyDescent="0.25">
      <c r="A189" s="4"/>
      <c r="B189" s="22">
        <v>31</v>
      </c>
      <c r="C189" s="23">
        <v>22</v>
      </c>
      <c r="D189" s="23">
        <v>28</v>
      </c>
      <c r="E189" s="3">
        <v>26</v>
      </c>
      <c r="F189" s="23">
        <v>26</v>
      </c>
      <c r="G189" s="23">
        <v>26</v>
      </c>
      <c r="H189" s="23">
        <v>27</v>
      </c>
      <c r="I189" s="10">
        <f t="shared" si="3"/>
        <v>25.833333333333332</v>
      </c>
      <c r="J189" s="24"/>
    </row>
    <row r="190" spans="1:10" x14ac:dyDescent="0.25">
      <c r="A190" s="4"/>
      <c r="B190" s="22">
        <v>32</v>
      </c>
      <c r="C190" s="23">
        <v>24</v>
      </c>
      <c r="D190" s="23">
        <v>34</v>
      </c>
      <c r="E190" s="3">
        <v>26</v>
      </c>
      <c r="F190" s="23">
        <v>28</v>
      </c>
      <c r="G190" s="23">
        <v>24</v>
      </c>
      <c r="H190" s="3"/>
      <c r="I190" s="10">
        <f t="shared" si="3"/>
        <v>27.2</v>
      </c>
      <c r="J190" s="24"/>
    </row>
    <row r="191" spans="1:10" x14ac:dyDescent="0.25">
      <c r="A191" s="4"/>
      <c r="B191" s="22">
        <v>33</v>
      </c>
      <c r="C191" s="23">
        <v>28</v>
      </c>
      <c r="D191" s="23">
        <v>25</v>
      </c>
      <c r="E191" s="3">
        <v>24</v>
      </c>
      <c r="F191" s="23">
        <v>27</v>
      </c>
      <c r="G191" s="23">
        <v>27</v>
      </c>
      <c r="H191" s="23">
        <v>29</v>
      </c>
      <c r="I191" s="10">
        <f t="shared" si="3"/>
        <v>26.666666666666668</v>
      </c>
      <c r="J191" s="24"/>
    </row>
    <row r="192" spans="1:10" x14ac:dyDescent="0.25">
      <c r="A192" s="4"/>
      <c r="B192" s="22">
        <v>34</v>
      </c>
      <c r="C192" s="23">
        <v>28</v>
      </c>
      <c r="D192" s="23">
        <v>28</v>
      </c>
      <c r="E192" s="3" t="s">
        <v>26</v>
      </c>
      <c r="F192" s="3" t="s">
        <v>27</v>
      </c>
      <c r="G192" s="23">
        <v>27</v>
      </c>
      <c r="H192" s="23">
        <v>28</v>
      </c>
      <c r="I192" s="10">
        <f t="shared" si="3"/>
        <v>27.75</v>
      </c>
      <c r="J192" s="24"/>
    </row>
    <row r="193" spans="1:10" x14ac:dyDescent="0.25">
      <c r="A193" s="4"/>
      <c r="B193" s="22">
        <v>35</v>
      </c>
      <c r="C193" s="23">
        <v>24</v>
      </c>
      <c r="D193" s="23">
        <v>24</v>
      </c>
      <c r="E193" s="3">
        <v>25</v>
      </c>
      <c r="F193" s="23">
        <v>24</v>
      </c>
      <c r="G193" s="23">
        <v>22</v>
      </c>
      <c r="H193" s="23">
        <v>25</v>
      </c>
      <c r="I193" s="10">
        <f t="shared" si="3"/>
        <v>24</v>
      </c>
      <c r="J193" s="24"/>
    </row>
    <row r="194" spans="1:10" x14ac:dyDescent="0.25">
      <c r="A194" s="4"/>
      <c r="B194" s="22">
        <v>36</v>
      </c>
      <c r="C194" s="23">
        <v>24</v>
      </c>
      <c r="D194" s="23">
        <v>24</v>
      </c>
      <c r="E194" s="3">
        <v>25</v>
      </c>
      <c r="F194" s="23">
        <v>22</v>
      </c>
      <c r="G194" s="23">
        <v>23</v>
      </c>
      <c r="H194" s="23">
        <v>23</v>
      </c>
      <c r="I194" s="10">
        <f>AVERAGE(C194:H194)</f>
        <v>23.5</v>
      </c>
      <c r="J194" s="24"/>
    </row>
    <row r="195" spans="1:10" x14ac:dyDescent="0.25">
      <c r="A195" s="4"/>
      <c r="B195" s="22">
        <v>37</v>
      </c>
      <c r="C195" s="23">
        <v>24</v>
      </c>
      <c r="D195" s="23">
        <v>25</v>
      </c>
      <c r="E195" s="3">
        <v>24</v>
      </c>
      <c r="F195" s="23">
        <v>24</v>
      </c>
      <c r="G195" s="23">
        <v>24</v>
      </c>
      <c r="H195" s="23">
        <v>24</v>
      </c>
      <c r="I195" s="10">
        <f t="shared" si="3"/>
        <v>24.166666666666668</v>
      </c>
      <c r="J195" s="24"/>
    </row>
    <row r="196" spans="1:10" x14ac:dyDescent="0.25">
      <c r="A196" s="4"/>
      <c r="B196" s="22">
        <v>38</v>
      </c>
      <c r="C196" s="23">
        <v>22</v>
      </c>
      <c r="D196" s="23">
        <v>24</v>
      </c>
      <c r="E196" s="3">
        <v>22</v>
      </c>
      <c r="F196" s="23">
        <v>20</v>
      </c>
      <c r="G196" s="23">
        <v>22</v>
      </c>
      <c r="H196" s="3" t="s">
        <v>27</v>
      </c>
      <c r="I196" s="10">
        <f t="shared" si="3"/>
        <v>22</v>
      </c>
      <c r="J196" s="24"/>
    </row>
    <row r="197" spans="1:10" x14ac:dyDescent="0.25">
      <c r="A197" s="4"/>
      <c r="B197" s="22">
        <v>39</v>
      </c>
      <c r="C197" s="23">
        <v>23</v>
      </c>
      <c r="D197" s="23">
        <v>24</v>
      </c>
      <c r="E197" s="3">
        <v>24</v>
      </c>
      <c r="F197" s="23">
        <v>24</v>
      </c>
      <c r="G197" s="23">
        <v>24</v>
      </c>
      <c r="H197" s="23">
        <v>24</v>
      </c>
      <c r="I197" s="10">
        <f t="shared" si="3"/>
        <v>23.833333333333332</v>
      </c>
      <c r="J197" s="24"/>
    </row>
    <row r="198" spans="1:10" x14ac:dyDescent="0.25">
      <c r="A198" s="4"/>
      <c r="B198" s="22">
        <v>40</v>
      </c>
      <c r="C198" s="3"/>
      <c r="D198" s="3"/>
      <c r="E198" s="3"/>
      <c r="F198" s="3"/>
      <c r="G198" s="3"/>
      <c r="H198" s="3"/>
      <c r="I198" s="3"/>
      <c r="J198" s="24"/>
    </row>
    <row r="199" spans="1:10" x14ac:dyDescent="0.25">
      <c r="A199" s="4"/>
      <c r="B199" s="22">
        <v>41</v>
      </c>
      <c r="C199" s="4"/>
      <c r="D199" s="4"/>
      <c r="E199" s="4"/>
      <c r="F199" s="4"/>
      <c r="G199" s="4"/>
      <c r="H199" s="4"/>
      <c r="I199" s="4"/>
      <c r="J199" s="24"/>
    </row>
    <row r="200" spans="1:10" x14ac:dyDescent="0.25">
      <c r="A200" s="4"/>
      <c r="B200" s="22">
        <v>42</v>
      </c>
      <c r="C200" s="4"/>
      <c r="D200" s="4"/>
      <c r="E200" s="4"/>
      <c r="F200" s="4"/>
      <c r="G200" s="4"/>
      <c r="H200" s="4"/>
      <c r="I200" s="4"/>
      <c r="J200" s="24"/>
    </row>
    <row r="201" spans="1:10" x14ac:dyDescent="0.25">
      <c r="A201" s="4"/>
      <c r="B201" s="22">
        <v>43</v>
      </c>
      <c r="C201" s="4"/>
      <c r="D201" s="4"/>
      <c r="E201" s="4"/>
      <c r="F201" s="4"/>
      <c r="G201" s="4"/>
      <c r="H201" s="4"/>
      <c r="I201" s="4"/>
      <c r="J201" s="24"/>
    </row>
    <row r="202" spans="1:10" x14ac:dyDescent="0.25">
      <c r="A202" s="4"/>
      <c r="B202" s="22">
        <v>44</v>
      </c>
      <c r="C202" s="4"/>
      <c r="D202" s="4"/>
      <c r="E202" s="4"/>
      <c r="F202" s="4"/>
      <c r="G202" s="4"/>
      <c r="H202" s="4"/>
      <c r="I202" s="4"/>
      <c r="J202" s="24"/>
    </row>
    <row r="203" spans="1:10" x14ac:dyDescent="0.25">
      <c r="A203" s="4"/>
      <c r="B203" s="22">
        <v>45</v>
      </c>
      <c r="C203" s="4"/>
      <c r="D203" s="4"/>
      <c r="E203" s="4"/>
      <c r="F203" s="4"/>
      <c r="G203" s="4"/>
      <c r="H203" s="4"/>
      <c r="I203" s="4"/>
      <c r="J203" s="24"/>
    </row>
    <row r="204" spans="1:10" x14ac:dyDescent="0.25">
      <c r="A204" s="4"/>
      <c r="B204" s="22">
        <v>46</v>
      </c>
      <c r="C204" s="4"/>
      <c r="D204" s="4"/>
      <c r="E204" s="4"/>
      <c r="F204" s="4"/>
      <c r="G204" s="4"/>
      <c r="H204" s="4"/>
      <c r="I204" s="4"/>
      <c r="J204" s="24"/>
    </row>
    <row r="205" spans="1:10" x14ac:dyDescent="0.25">
      <c r="A205" s="4"/>
      <c r="B205" s="22">
        <v>47</v>
      </c>
      <c r="C205" s="4"/>
      <c r="D205" s="4"/>
      <c r="E205" s="4"/>
      <c r="F205" s="4"/>
      <c r="G205" s="4"/>
      <c r="H205" s="4"/>
      <c r="I205" s="4"/>
      <c r="J205" s="24"/>
    </row>
    <row r="206" spans="1:10" x14ac:dyDescent="0.25">
      <c r="A206" s="4"/>
      <c r="B206" s="22">
        <v>48</v>
      </c>
      <c r="C206" s="4"/>
      <c r="D206" s="4"/>
      <c r="E206" s="4"/>
      <c r="F206" s="4"/>
      <c r="G206" s="4"/>
      <c r="H206" s="4"/>
      <c r="I206" s="4"/>
      <c r="J206" s="24"/>
    </row>
    <row r="207" spans="1:10" x14ac:dyDescent="0.25">
      <c r="A207" s="4"/>
      <c r="B207" s="22">
        <v>49</v>
      </c>
      <c r="C207" s="4"/>
      <c r="D207" s="4"/>
      <c r="E207" s="4"/>
      <c r="F207" s="4"/>
      <c r="G207" s="4"/>
      <c r="H207" s="4"/>
      <c r="I207" s="4"/>
      <c r="J207" s="24"/>
    </row>
    <row r="208" spans="1:10" x14ac:dyDescent="0.25">
      <c r="A208" s="4"/>
      <c r="B208" s="22">
        <v>50</v>
      </c>
      <c r="C208" s="4"/>
      <c r="D208" s="4"/>
      <c r="E208" s="4"/>
      <c r="F208" s="4"/>
      <c r="G208" s="4"/>
      <c r="H208" s="4"/>
      <c r="I208" s="4"/>
      <c r="J208" s="24"/>
    </row>
    <row r="209" spans="1:10" x14ac:dyDescent="0.25">
      <c r="A209" s="4"/>
      <c r="B209" s="22">
        <v>51</v>
      </c>
      <c r="C209" s="4"/>
      <c r="D209" s="4"/>
      <c r="E209" s="4"/>
      <c r="F209" s="4"/>
      <c r="G209" s="4"/>
      <c r="H209" s="4"/>
      <c r="I209" s="4"/>
      <c r="J209" s="24"/>
    </row>
    <row r="210" spans="1:10" x14ac:dyDescent="0.25">
      <c r="A210" s="4"/>
      <c r="B210" s="22">
        <v>52</v>
      </c>
      <c r="C210" s="4"/>
      <c r="D210" s="4"/>
      <c r="E210" s="4"/>
      <c r="F210" s="4"/>
      <c r="G210" s="4"/>
      <c r="H210" s="4"/>
      <c r="I210" s="4"/>
      <c r="J210" s="24"/>
    </row>
    <row r="211" spans="1:10" x14ac:dyDescent="0.25">
      <c r="B211" s="18"/>
    </row>
    <row r="212" spans="1:10" x14ac:dyDescent="0.25">
      <c r="B212" s="18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10"/>
  <sheetViews>
    <sheetView topLeftCell="A183" workbookViewId="0">
      <selection activeCell="C158" sqref="C158"/>
    </sheetView>
  </sheetViews>
  <sheetFormatPr defaultRowHeight="15" x14ac:dyDescent="0.25"/>
  <cols>
    <col min="1" max="1" width="15" customWidth="1"/>
    <col min="2" max="2" width="15.42578125" customWidth="1"/>
    <col min="3" max="3" width="14.85546875" customWidth="1"/>
    <col min="4" max="4" width="14.7109375" customWidth="1"/>
    <col min="5" max="5" width="14.42578125" customWidth="1"/>
    <col min="6" max="6" width="15.5703125" customWidth="1"/>
    <col min="7" max="8" width="15" customWidth="1"/>
    <col min="9" max="9" width="16.7109375" customWidth="1"/>
  </cols>
  <sheetData>
    <row r="2" spans="1:9" ht="36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9" t="s">
        <v>11</v>
      </c>
    </row>
    <row r="3" spans="1:9" x14ac:dyDescent="0.25">
      <c r="A3" s="2">
        <v>2023</v>
      </c>
      <c r="B3" s="2">
        <v>1</v>
      </c>
      <c r="C3" s="3">
        <v>32</v>
      </c>
      <c r="D3" s="3">
        <v>32</v>
      </c>
      <c r="E3" s="3">
        <v>30</v>
      </c>
      <c r="F3" s="3">
        <v>31</v>
      </c>
      <c r="G3" s="3"/>
      <c r="H3" s="3">
        <v>34</v>
      </c>
      <c r="I3" s="11">
        <f>AVERAGE(C3:H3)</f>
        <v>31.8</v>
      </c>
    </row>
    <row r="4" spans="1:9" x14ac:dyDescent="0.25">
      <c r="A4" s="4"/>
      <c r="B4" s="2">
        <v>2</v>
      </c>
      <c r="C4" s="3">
        <v>32</v>
      </c>
      <c r="D4" s="3">
        <v>34</v>
      </c>
      <c r="E4" s="3">
        <v>31</v>
      </c>
      <c r="F4" s="3">
        <v>33</v>
      </c>
      <c r="G4" s="3">
        <v>34</v>
      </c>
      <c r="H4" s="3">
        <v>34</v>
      </c>
      <c r="I4" s="11">
        <f t="shared" ref="I4:I67" si="0">AVERAGE(C4:H4)</f>
        <v>33</v>
      </c>
    </row>
    <row r="5" spans="1:9" x14ac:dyDescent="0.25">
      <c r="A5" s="4"/>
      <c r="B5" s="2">
        <v>3</v>
      </c>
      <c r="C5" s="3">
        <v>32</v>
      </c>
      <c r="D5" s="3">
        <v>25</v>
      </c>
      <c r="E5" s="3">
        <v>35</v>
      </c>
      <c r="F5" s="3">
        <v>35</v>
      </c>
      <c r="G5" s="3">
        <v>32</v>
      </c>
      <c r="H5" s="3">
        <v>25</v>
      </c>
      <c r="I5" s="11">
        <f t="shared" si="0"/>
        <v>30.666666666666668</v>
      </c>
    </row>
    <row r="6" spans="1:9" x14ac:dyDescent="0.25">
      <c r="A6" s="4"/>
      <c r="B6" s="2">
        <v>4</v>
      </c>
      <c r="C6" s="3">
        <v>32</v>
      </c>
      <c r="D6" s="3">
        <v>31</v>
      </c>
      <c r="E6" s="3">
        <v>36</v>
      </c>
      <c r="F6" s="3">
        <v>33</v>
      </c>
      <c r="G6" s="3">
        <v>29</v>
      </c>
      <c r="H6" s="3">
        <v>34</v>
      </c>
      <c r="I6" s="11">
        <f t="shared" si="0"/>
        <v>32.5</v>
      </c>
    </row>
    <row r="7" spans="1:9" x14ac:dyDescent="0.25">
      <c r="A7" s="4"/>
      <c r="B7" s="2">
        <v>5</v>
      </c>
      <c r="C7" s="3">
        <v>32</v>
      </c>
      <c r="D7" s="3">
        <v>32</v>
      </c>
      <c r="E7" s="3">
        <v>28</v>
      </c>
      <c r="F7" s="3">
        <v>30</v>
      </c>
      <c r="G7" s="3">
        <v>32</v>
      </c>
      <c r="H7" s="3"/>
      <c r="I7" s="11">
        <f t="shared" si="0"/>
        <v>30.8</v>
      </c>
    </row>
    <row r="8" spans="1:9" x14ac:dyDescent="0.25">
      <c r="A8" s="4"/>
      <c r="B8" s="2">
        <v>6</v>
      </c>
      <c r="C8" s="3">
        <v>32</v>
      </c>
      <c r="D8" s="3">
        <v>34</v>
      </c>
      <c r="E8" s="3">
        <v>34</v>
      </c>
      <c r="F8" s="3">
        <v>36</v>
      </c>
      <c r="G8" s="3">
        <v>36</v>
      </c>
      <c r="H8" s="3">
        <v>32</v>
      </c>
      <c r="I8" s="11">
        <f t="shared" si="0"/>
        <v>34</v>
      </c>
    </row>
    <row r="9" spans="1:9" x14ac:dyDescent="0.25">
      <c r="A9" s="4"/>
      <c r="B9" s="2">
        <v>7</v>
      </c>
      <c r="C9" s="3">
        <v>36</v>
      </c>
      <c r="D9" s="3">
        <v>36</v>
      </c>
      <c r="E9" s="3">
        <v>36</v>
      </c>
      <c r="F9" s="3">
        <v>35</v>
      </c>
      <c r="G9" s="3">
        <v>35</v>
      </c>
      <c r="H9" s="3">
        <v>35</v>
      </c>
      <c r="I9" s="11">
        <f t="shared" si="0"/>
        <v>35.5</v>
      </c>
    </row>
    <row r="10" spans="1:9" x14ac:dyDescent="0.25">
      <c r="A10" s="4"/>
      <c r="B10" s="2">
        <v>8</v>
      </c>
      <c r="C10" s="3">
        <v>35</v>
      </c>
      <c r="D10" s="3">
        <v>35</v>
      </c>
      <c r="E10" s="3">
        <v>37</v>
      </c>
      <c r="F10" s="3">
        <v>36</v>
      </c>
      <c r="G10" s="3">
        <v>37</v>
      </c>
      <c r="H10" s="3"/>
      <c r="I10" s="11">
        <f t="shared" si="0"/>
        <v>36</v>
      </c>
    </row>
    <row r="11" spans="1:9" x14ac:dyDescent="0.25">
      <c r="A11" s="4"/>
      <c r="B11" s="2">
        <v>9</v>
      </c>
      <c r="C11" s="3">
        <v>33</v>
      </c>
      <c r="D11" s="3">
        <v>33</v>
      </c>
      <c r="E11" s="3">
        <v>32</v>
      </c>
      <c r="F11" s="3">
        <v>33</v>
      </c>
      <c r="G11" s="3">
        <v>32</v>
      </c>
      <c r="H11" s="3"/>
      <c r="I11" s="11">
        <f t="shared" si="0"/>
        <v>32.6</v>
      </c>
    </row>
    <row r="12" spans="1:9" x14ac:dyDescent="0.25">
      <c r="A12" s="4"/>
      <c r="B12" s="2">
        <v>10</v>
      </c>
      <c r="C12" s="3"/>
      <c r="D12" s="3">
        <v>34</v>
      </c>
      <c r="E12" s="3">
        <v>36</v>
      </c>
      <c r="F12" s="3">
        <v>33</v>
      </c>
      <c r="G12" s="3">
        <v>31</v>
      </c>
      <c r="H12" s="3">
        <v>34</v>
      </c>
      <c r="I12" s="11">
        <f t="shared" si="0"/>
        <v>33.6</v>
      </c>
    </row>
    <row r="13" spans="1:9" x14ac:dyDescent="0.25">
      <c r="A13" s="4"/>
      <c r="B13" s="2">
        <v>11</v>
      </c>
      <c r="C13" s="3">
        <v>35</v>
      </c>
      <c r="D13" s="3">
        <v>36</v>
      </c>
      <c r="E13" s="3">
        <v>35</v>
      </c>
      <c r="F13" s="3">
        <v>36</v>
      </c>
      <c r="G13" s="3">
        <v>36</v>
      </c>
      <c r="H13" s="3">
        <v>36</v>
      </c>
      <c r="I13" s="11">
        <f t="shared" si="0"/>
        <v>35.666666666666664</v>
      </c>
    </row>
    <row r="14" spans="1:9" x14ac:dyDescent="0.25">
      <c r="A14" s="4"/>
      <c r="B14" s="2">
        <v>12</v>
      </c>
      <c r="C14" s="3">
        <v>35</v>
      </c>
      <c r="D14" s="3">
        <v>35</v>
      </c>
      <c r="E14" s="3">
        <v>35</v>
      </c>
      <c r="F14" s="3">
        <v>35</v>
      </c>
      <c r="G14" s="3">
        <v>36</v>
      </c>
      <c r="H14" s="3">
        <v>36</v>
      </c>
      <c r="I14" s="11">
        <f t="shared" si="0"/>
        <v>35.333333333333336</v>
      </c>
    </row>
    <row r="15" spans="1:9" x14ac:dyDescent="0.25">
      <c r="A15" s="4"/>
      <c r="B15" s="2">
        <v>13</v>
      </c>
      <c r="C15" s="3">
        <v>36</v>
      </c>
      <c r="D15" s="3">
        <v>36</v>
      </c>
      <c r="E15" s="3">
        <v>36</v>
      </c>
      <c r="F15" s="3">
        <v>38</v>
      </c>
      <c r="G15" s="3">
        <v>36</v>
      </c>
      <c r="H15" s="3"/>
      <c r="I15" s="11">
        <f t="shared" si="0"/>
        <v>36.4</v>
      </c>
    </row>
    <row r="16" spans="1:9" x14ac:dyDescent="0.25">
      <c r="A16" s="4"/>
      <c r="B16" s="2">
        <v>14</v>
      </c>
      <c r="C16" s="3">
        <v>32</v>
      </c>
      <c r="D16" s="3">
        <v>36</v>
      </c>
      <c r="E16" s="3"/>
      <c r="F16" s="3">
        <v>35</v>
      </c>
      <c r="G16" s="3">
        <v>36</v>
      </c>
      <c r="H16" s="3">
        <v>35</v>
      </c>
      <c r="I16" s="11">
        <f t="shared" si="0"/>
        <v>34.799999999999997</v>
      </c>
    </row>
    <row r="17" spans="1:9" x14ac:dyDescent="0.25">
      <c r="A17" s="4"/>
      <c r="B17" s="2">
        <v>15</v>
      </c>
      <c r="C17" s="3">
        <v>36</v>
      </c>
      <c r="D17" s="3">
        <v>37</v>
      </c>
      <c r="E17" s="3"/>
      <c r="F17" s="3"/>
      <c r="G17" s="3"/>
      <c r="H17" s="3"/>
      <c r="I17" s="11">
        <f t="shared" si="0"/>
        <v>36.5</v>
      </c>
    </row>
    <row r="18" spans="1:9" x14ac:dyDescent="0.25">
      <c r="A18" s="4"/>
      <c r="B18" s="2">
        <v>16</v>
      </c>
      <c r="C18" s="3">
        <v>37</v>
      </c>
      <c r="D18" s="3">
        <v>37</v>
      </c>
      <c r="E18" s="3">
        <v>37</v>
      </c>
      <c r="F18" s="3">
        <v>37</v>
      </c>
      <c r="G18" s="3">
        <v>36</v>
      </c>
      <c r="H18" s="3"/>
      <c r="I18" s="11">
        <f t="shared" si="0"/>
        <v>36.799999999999997</v>
      </c>
    </row>
    <row r="19" spans="1:9" x14ac:dyDescent="0.25">
      <c r="A19" s="4"/>
      <c r="B19" s="2">
        <v>17</v>
      </c>
      <c r="C19" s="3">
        <v>36</v>
      </c>
      <c r="D19" s="3">
        <v>36</v>
      </c>
      <c r="E19" s="3">
        <v>36</v>
      </c>
      <c r="F19" s="3">
        <v>37</v>
      </c>
      <c r="G19" s="3">
        <v>36</v>
      </c>
      <c r="H19" s="3">
        <v>34</v>
      </c>
      <c r="I19" s="11">
        <f t="shared" si="0"/>
        <v>35.833333333333336</v>
      </c>
    </row>
    <row r="20" spans="1:9" x14ac:dyDescent="0.25">
      <c r="A20" s="4"/>
      <c r="B20" s="2">
        <v>18</v>
      </c>
      <c r="C20" s="3">
        <v>32</v>
      </c>
      <c r="D20" s="3">
        <v>32</v>
      </c>
      <c r="E20" s="3">
        <v>32</v>
      </c>
      <c r="F20" s="3">
        <v>32</v>
      </c>
      <c r="G20" s="3"/>
      <c r="H20" s="3"/>
      <c r="I20" s="11">
        <f t="shared" si="0"/>
        <v>32</v>
      </c>
    </row>
    <row r="21" spans="1:9" x14ac:dyDescent="0.25">
      <c r="A21" s="4"/>
      <c r="B21" s="2">
        <v>19</v>
      </c>
      <c r="C21" s="3"/>
      <c r="D21" s="3">
        <v>32</v>
      </c>
      <c r="E21" s="3">
        <v>32</v>
      </c>
      <c r="F21" s="3">
        <v>32</v>
      </c>
      <c r="G21" s="3">
        <v>33</v>
      </c>
      <c r="H21" s="3">
        <v>34</v>
      </c>
      <c r="I21" s="11">
        <f t="shared" si="0"/>
        <v>32.6</v>
      </c>
    </row>
    <row r="22" spans="1:9" x14ac:dyDescent="0.25">
      <c r="A22" s="4"/>
      <c r="B22" s="2">
        <v>20</v>
      </c>
      <c r="C22" s="3">
        <v>36</v>
      </c>
      <c r="D22" s="3">
        <v>35</v>
      </c>
      <c r="E22" s="3">
        <v>31</v>
      </c>
      <c r="F22" s="3">
        <v>38</v>
      </c>
      <c r="G22" s="3">
        <v>34</v>
      </c>
      <c r="H22" s="3">
        <v>35</v>
      </c>
      <c r="I22" s="11">
        <f t="shared" si="0"/>
        <v>34.833333333333336</v>
      </c>
    </row>
    <row r="23" spans="1:9" x14ac:dyDescent="0.25">
      <c r="A23" s="4"/>
      <c r="B23" s="2">
        <v>21</v>
      </c>
      <c r="C23" s="3">
        <v>31</v>
      </c>
      <c r="D23" s="3">
        <v>30</v>
      </c>
      <c r="E23" s="3">
        <v>35</v>
      </c>
      <c r="F23" s="3">
        <v>34</v>
      </c>
      <c r="G23" s="3">
        <v>34</v>
      </c>
      <c r="H23" s="3">
        <v>34</v>
      </c>
      <c r="I23" s="11">
        <f t="shared" si="0"/>
        <v>33</v>
      </c>
    </row>
    <row r="24" spans="1:9" x14ac:dyDescent="0.25">
      <c r="A24" s="4"/>
      <c r="B24" s="2">
        <v>22</v>
      </c>
      <c r="C24" s="3">
        <v>35</v>
      </c>
      <c r="D24" s="3">
        <v>34</v>
      </c>
      <c r="E24" s="3"/>
      <c r="F24" s="3">
        <v>30</v>
      </c>
      <c r="G24" s="3">
        <v>30</v>
      </c>
      <c r="H24" s="3"/>
      <c r="I24" s="11">
        <f t="shared" si="0"/>
        <v>32.25</v>
      </c>
    </row>
    <row r="25" spans="1:9" x14ac:dyDescent="0.25">
      <c r="A25" s="4"/>
      <c r="B25" s="2">
        <v>23</v>
      </c>
      <c r="C25" s="3">
        <v>31</v>
      </c>
      <c r="D25" s="3">
        <v>31</v>
      </c>
      <c r="E25" s="3">
        <v>30</v>
      </c>
      <c r="F25" s="3">
        <v>30</v>
      </c>
      <c r="G25" s="3">
        <v>30</v>
      </c>
      <c r="H25" s="3">
        <v>30</v>
      </c>
      <c r="I25" s="11">
        <f t="shared" si="0"/>
        <v>30.333333333333332</v>
      </c>
    </row>
    <row r="26" spans="1:9" x14ac:dyDescent="0.25">
      <c r="A26" s="4"/>
      <c r="B26" s="2">
        <v>24</v>
      </c>
      <c r="C26" s="3">
        <v>31</v>
      </c>
      <c r="D26" s="3">
        <v>32</v>
      </c>
      <c r="E26" s="3">
        <v>30</v>
      </c>
      <c r="F26" s="3">
        <v>34</v>
      </c>
      <c r="G26" s="3">
        <v>31</v>
      </c>
      <c r="H26" s="3">
        <v>31</v>
      </c>
      <c r="I26" s="11">
        <f t="shared" si="0"/>
        <v>31.5</v>
      </c>
    </row>
    <row r="27" spans="1:9" x14ac:dyDescent="0.25">
      <c r="A27" s="4"/>
      <c r="B27" s="2">
        <v>25</v>
      </c>
      <c r="C27" s="3">
        <v>31</v>
      </c>
      <c r="D27" s="3">
        <v>32</v>
      </c>
      <c r="E27" s="3">
        <v>34</v>
      </c>
      <c r="F27" s="3">
        <v>32</v>
      </c>
      <c r="G27" s="3">
        <v>34</v>
      </c>
      <c r="H27" s="3">
        <v>34</v>
      </c>
      <c r="I27" s="11">
        <f t="shared" si="0"/>
        <v>32.833333333333336</v>
      </c>
    </row>
    <row r="28" spans="1:9" x14ac:dyDescent="0.25">
      <c r="A28" s="4"/>
      <c r="B28" s="2">
        <v>26</v>
      </c>
      <c r="C28" s="3">
        <v>31</v>
      </c>
      <c r="D28" s="3">
        <v>32</v>
      </c>
      <c r="E28" s="3">
        <v>32</v>
      </c>
      <c r="F28" s="3">
        <v>32</v>
      </c>
      <c r="G28" s="3">
        <v>31</v>
      </c>
      <c r="H28" s="3"/>
      <c r="I28" s="11">
        <f t="shared" si="0"/>
        <v>31.6</v>
      </c>
    </row>
    <row r="29" spans="1:9" x14ac:dyDescent="0.25">
      <c r="A29" s="4"/>
      <c r="B29" s="2">
        <v>27</v>
      </c>
      <c r="C29" s="3"/>
      <c r="D29" s="3">
        <v>32</v>
      </c>
      <c r="E29" s="3">
        <v>34</v>
      </c>
      <c r="F29" s="3">
        <v>32</v>
      </c>
      <c r="G29" s="3">
        <v>32</v>
      </c>
      <c r="H29" s="3">
        <v>36</v>
      </c>
      <c r="I29" s="11">
        <f t="shared" si="0"/>
        <v>33.200000000000003</v>
      </c>
    </row>
    <row r="30" spans="1:9" x14ac:dyDescent="0.25">
      <c r="A30" s="4"/>
      <c r="B30" s="2">
        <v>28</v>
      </c>
      <c r="C30" s="3">
        <v>31</v>
      </c>
      <c r="D30" s="3">
        <v>31</v>
      </c>
      <c r="E30" s="3">
        <v>32</v>
      </c>
      <c r="F30" s="3">
        <v>36</v>
      </c>
      <c r="G30" s="3">
        <v>32</v>
      </c>
      <c r="H30" s="3">
        <v>32</v>
      </c>
      <c r="I30" s="11">
        <f t="shared" si="0"/>
        <v>32.333333333333336</v>
      </c>
    </row>
    <row r="31" spans="1:9" x14ac:dyDescent="0.25">
      <c r="A31" s="4"/>
      <c r="B31" s="2">
        <v>29</v>
      </c>
      <c r="C31" s="3">
        <v>34</v>
      </c>
      <c r="D31" s="3">
        <v>36</v>
      </c>
      <c r="E31" s="3">
        <v>32</v>
      </c>
      <c r="F31" s="3">
        <v>36</v>
      </c>
      <c r="G31" s="3">
        <v>34</v>
      </c>
      <c r="H31" s="3">
        <v>30</v>
      </c>
      <c r="I31" s="11">
        <f t="shared" si="0"/>
        <v>33.666666666666664</v>
      </c>
    </row>
    <row r="32" spans="1:9" x14ac:dyDescent="0.25">
      <c r="A32" s="4"/>
      <c r="B32" s="2">
        <v>30</v>
      </c>
      <c r="C32" s="3">
        <v>32</v>
      </c>
      <c r="D32" s="3">
        <v>32</v>
      </c>
      <c r="E32" s="3">
        <v>36</v>
      </c>
      <c r="F32" s="3">
        <v>32</v>
      </c>
      <c r="G32" s="3">
        <v>30</v>
      </c>
      <c r="H32" s="3"/>
      <c r="I32" s="11">
        <f t="shared" si="0"/>
        <v>32.4</v>
      </c>
    </row>
    <row r="33" spans="1:9" x14ac:dyDescent="0.25">
      <c r="A33" s="4"/>
      <c r="B33" s="2">
        <v>31</v>
      </c>
      <c r="C33" s="3">
        <v>36</v>
      </c>
      <c r="D33" s="3"/>
      <c r="E33" s="3">
        <v>34</v>
      </c>
      <c r="F33" s="3">
        <v>36</v>
      </c>
      <c r="G33" s="3">
        <v>36</v>
      </c>
      <c r="H33" s="3">
        <v>36</v>
      </c>
      <c r="I33" s="11">
        <f t="shared" si="0"/>
        <v>35.6</v>
      </c>
    </row>
    <row r="34" spans="1:9" x14ac:dyDescent="0.25">
      <c r="A34" s="4"/>
      <c r="B34" s="2">
        <v>32</v>
      </c>
      <c r="C34" s="3">
        <v>36</v>
      </c>
      <c r="D34" s="3">
        <v>36</v>
      </c>
      <c r="E34" s="3">
        <v>35</v>
      </c>
      <c r="F34" s="3">
        <v>36</v>
      </c>
      <c r="G34" s="3">
        <v>34</v>
      </c>
      <c r="H34" s="3">
        <v>36</v>
      </c>
      <c r="I34" s="11">
        <f t="shared" si="0"/>
        <v>35.5</v>
      </c>
    </row>
    <row r="35" spans="1:9" x14ac:dyDescent="0.25">
      <c r="A35" s="4"/>
      <c r="B35" s="2">
        <v>33</v>
      </c>
      <c r="C35" s="3">
        <v>33</v>
      </c>
      <c r="D35" s="3">
        <v>34</v>
      </c>
      <c r="E35" s="3">
        <v>36</v>
      </c>
      <c r="F35" s="3"/>
      <c r="G35" s="3">
        <v>34</v>
      </c>
      <c r="H35" s="3">
        <v>36</v>
      </c>
      <c r="I35" s="11">
        <f t="shared" si="0"/>
        <v>34.6</v>
      </c>
    </row>
    <row r="36" spans="1:9" x14ac:dyDescent="0.25">
      <c r="A36" s="4"/>
      <c r="B36" s="2">
        <v>34</v>
      </c>
      <c r="C36" s="3">
        <v>36</v>
      </c>
      <c r="D36" s="3">
        <v>36</v>
      </c>
      <c r="E36" s="3">
        <v>36</v>
      </c>
      <c r="F36" s="3">
        <v>35</v>
      </c>
      <c r="G36" s="3">
        <v>33</v>
      </c>
      <c r="H36" s="3">
        <v>36</v>
      </c>
      <c r="I36" s="11">
        <f t="shared" si="0"/>
        <v>35.333333333333336</v>
      </c>
    </row>
    <row r="37" spans="1:9" x14ac:dyDescent="0.25">
      <c r="A37" s="4"/>
      <c r="B37" s="2">
        <v>35</v>
      </c>
      <c r="C37" s="3">
        <v>37</v>
      </c>
      <c r="D37" s="3">
        <v>37</v>
      </c>
      <c r="E37" s="3"/>
      <c r="F37" s="3">
        <v>34</v>
      </c>
      <c r="G37" s="3">
        <v>27</v>
      </c>
      <c r="H37" s="3">
        <v>27</v>
      </c>
      <c r="I37" s="11">
        <f t="shared" si="0"/>
        <v>32.4</v>
      </c>
    </row>
    <row r="38" spans="1:9" x14ac:dyDescent="0.25">
      <c r="A38" s="4"/>
      <c r="B38" s="2">
        <v>36</v>
      </c>
      <c r="C38" s="3">
        <v>24</v>
      </c>
      <c r="D38" s="3">
        <v>37</v>
      </c>
      <c r="E38" s="3">
        <v>30</v>
      </c>
      <c r="F38" s="3">
        <v>30</v>
      </c>
      <c r="G38" s="3">
        <v>30</v>
      </c>
      <c r="H38" s="3">
        <v>28</v>
      </c>
      <c r="I38" s="11">
        <f t="shared" si="0"/>
        <v>29.833333333333332</v>
      </c>
    </row>
    <row r="39" spans="1:9" x14ac:dyDescent="0.25">
      <c r="A39" s="4"/>
      <c r="B39" s="2">
        <v>37</v>
      </c>
      <c r="C39" s="3">
        <v>34</v>
      </c>
      <c r="D39" s="3">
        <v>33</v>
      </c>
      <c r="E39" s="3"/>
      <c r="F39" s="3">
        <v>28</v>
      </c>
      <c r="G39" s="3">
        <v>28</v>
      </c>
      <c r="H39" s="3">
        <v>28</v>
      </c>
      <c r="I39" s="11">
        <f t="shared" si="0"/>
        <v>30.2</v>
      </c>
    </row>
    <row r="40" spans="1:9" x14ac:dyDescent="0.25">
      <c r="A40" s="4"/>
      <c r="B40" s="2">
        <v>38</v>
      </c>
      <c r="C40" s="3">
        <v>38</v>
      </c>
      <c r="D40" s="3">
        <v>38</v>
      </c>
      <c r="E40" s="3">
        <v>33</v>
      </c>
      <c r="F40" s="3">
        <v>33</v>
      </c>
      <c r="G40" s="3">
        <v>33</v>
      </c>
      <c r="H40" s="3">
        <v>34</v>
      </c>
      <c r="I40" s="11">
        <f t="shared" si="0"/>
        <v>34.833333333333336</v>
      </c>
    </row>
    <row r="41" spans="1:9" x14ac:dyDescent="0.25">
      <c r="A41" s="4"/>
      <c r="B41" s="2">
        <v>39</v>
      </c>
      <c r="C41" s="3">
        <v>34</v>
      </c>
      <c r="D41" s="3">
        <v>30</v>
      </c>
      <c r="E41" s="3">
        <v>30</v>
      </c>
      <c r="F41" s="3"/>
      <c r="G41" s="3"/>
      <c r="H41" s="3">
        <v>34</v>
      </c>
      <c r="I41" s="11">
        <f t="shared" si="0"/>
        <v>32</v>
      </c>
    </row>
    <row r="42" spans="1:9" x14ac:dyDescent="0.25">
      <c r="A42" s="4"/>
      <c r="B42" s="2">
        <v>40</v>
      </c>
      <c r="C42" s="3">
        <v>38</v>
      </c>
      <c r="D42" s="3">
        <v>37</v>
      </c>
      <c r="E42" s="3">
        <v>35</v>
      </c>
      <c r="F42" s="3">
        <v>32</v>
      </c>
      <c r="G42" s="3">
        <v>37</v>
      </c>
      <c r="H42" s="3">
        <v>36</v>
      </c>
      <c r="I42" s="11">
        <f t="shared" si="0"/>
        <v>35.833333333333336</v>
      </c>
    </row>
    <row r="43" spans="1:9" x14ac:dyDescent="0.25">
      <c r="A43" s="4"/>
      <c r="B43" s="2">
        <v>41</v>
      </c>
      <c r="C43" s="3">
        <v>32</v>
      </c>
      <c r="D43" s="3">
        <v>38</v>
      </c>
      <c r="E43" s="3">
        <v>35</v>
      </c>
      <c r="F43" s="3">
        <v>35</v>
      </c>
      <c r="G43" s="3">
        <v>32</v>
      </c>
      <c r="H43" s="3">
        <v>36</v>
      </c>
      <c r="I43" s="11">
        <f t="shared" si="0"/>
        <v>34.666666666666664</v>
      </c>
    </row>
    <row r="44" spans="1:9" x14ac:dyDescent="0.25">
      <c r="A44" s="4"/>
      <c r="B44" s="2">
        <v>42</v>
      </c>
      <c r="C44" s="3">
        <v>39</v>
      </c>
      <c r="D44" s="3">
        <v>35</v>
      </c>
      <c r="E44" s="3">
        <v>29</v>
      </c>
      <c r="F44" s="3">
        <v>34</v>
      </c>
      <c r="G44" s="3">
        <v>32</v>
      </c>
      <c r="H44" s="3">
        <v>34</v>
      </c>
      <c r="I44" s="11">
        <f t="shared" si="0"/>
        <v>33.833333333333336</v>
      </c>
    </row>
    <row r="45" spans="1:9" x14ac:dyDescent="0.25">
      <c r="A45" s="4"/>
      <c r="B45" s="2">
        <v>43</v>
      </c>
      <c r="C45" s="3">
        <v>37</v>
      </c>
      <c r="D45" s="3">
        <v>34</v>
      </c>
      <c r="E45" s="3">
        <v>38</v>
      </c>
      <c r="F45" s="3">
        <v>35</v>
      </c>
      <c r="G45" s="3">
        <v>34</v>
      </c>
      <c r="H45" s="3"/>
      <c r="I45" s="11">
        <f t="shared" si="0"/>
        <v>35.6</v>
      </c>
    </row>
    <row r="46" spans="1:9" x14ac:dyDescent="0.25">
      <c r="A46" s="4"/>
      <c r="B46" s="2">
        <v>44</v>
      </c>
      <c r="C46" s="3">
        <v>36</v>
      </c>
      <c r="D46" s="3">
        <v>35</v>
      </c>
      <c r="E46" s="3">
        <v>35</v>
      </c>
      <c r="F46" s="3">
        <v>36</v>
      </c>
      <c r="G46" s="3">
        <v>34</v>
      </c>
      <c r="H46" s="3">
        <v>35</v>
      </c>
      <c r="I46" s="11">
        <f t="shared" si="0"/>
        <v>35.166666666666664</v>
      </c>
    </row>
    <row r="47" spans="1:9" x14ac:dyDescent="0.25">
      <c r="A47" s="4"/>
      <c r="B47" s="2">
        <v>45</v>
      </c>
      <c r="C47" s="3">
        <v>35</v>
      </c>
      <c r="D47" s="3">
        <v>33</v>
      </c>
      <c r="E47" s="3">
        <v>34</v>
      </c>
      <c r="F47" s="3">
        <v>34</v>
      </c>
      <c r="G47" s="3">
        <v>36</v>
      </c>
      <c r="H47" s="3">
        <v>32</v>
      </c>
      <c r="I47" s="11">
        <f t="shared" si="0"/>
        <v>34</v>
      </c>
    </row>
    <row r="48" spans="1:9" x14ac:dyDescent="0.25">
      <c r="A48" s="4"/>
      <c r="B48" s="2">
        <v>46</v>
      </c>
      <c r="C48" s="3">
        <v>34</v>
      </c>
      <c r="D48" s="3">
        <v>34</v>
      </c>
      <c r="E48" s="3">
        <v>34</v>
      </c>
      <c r="F48" s="3">
        <v>34</v>
      </c>
      <c r="G48" s="3">
        <v>34</v>
      </c>
      <c r="H48" s="3">
        <v>34</v>
      </c>
      <c r="I48" s="11">
        <f t="shared" si="0"/>
        <v>34</v>
      </c>
    </row>
    <row r="49" spans="1:9" x14ac:dyDescent="0.25">
      <c r="A49" s="4"/>
      <c r="B49" s="2">
        <v>47</v>
      </c>
      <c r="C49" s="3">
        <v>34</v>
      </c>
      <c r="D49" s="3">
        <v>34</v>
      </c>
      <c r="E49" s="3">
        <v>36</v>
      </c>
      <c r="F49" s="3">
        <v>35</v>
      </c>
      <c r="G49" s="3">
        <v>36</v>
      </c>
      <c r="H49" s="3">
        <v>34</v>
      </c>
      <c r="I49" s="11">
        <f t="shared" si="0"/>
        <v>34.833333333333336</v>
      </c>
    </row>
    <row r="50" spans="1:9" x14ac:dyDescent="0.25">
      <c r="A50" s="4"/>
      <c r="B50" s="2">
        <v>48</v>
      </c>
      <c r="C50" s="3">
        <v>35</v>
      </c>
      <c r="D50" s="3">
        <v>34</v>
      </c>
      <c r="E50" s="3">
        <v>34</v>
      </c>
      <c r="F50" s="3">
        <v>35</v>
      </c>
      <c r="G50" s="3">
        <v>32</v>
      </c>
      <c r="H50" s="3">
        <v>30</v>
      </c>
      <c r="I50" s="11">
        <f t="shared" si="0"/>
        <v>33.333333333333336</v>
      </c>
    </row>
    <row r="51" spans="1:9" x14ac:dyDescent="0.25">
      <c r="A51" s="4"/>
      <c r="B51" s="2">
        <v>49</v>
      </c>
      <c r="C51" s="3">
        <v>36</v>
      </c>
      <c r="D51" s="3">
        <v>34</v>
      </c>
      <c r="E51" s="3">
        <v>35</v>
      </c>
      <c r="F51" s="3">
        <v>22</v>
      </c>
      <c r="G51" s="3">
        <v>36</v>
      </c>
      <c r="H51" s="3">
        <v>34</v>
      </c>
      <c r="I51" s="11">
        <f t="shared" si="0"/>
        <v>32.833333333333336</v>
      </c>
    </row>
    <row r="52" spans="1:9" x14ac:dyDescent="0.25">
      <c r="A52" s="4"/>
      <c r="B52" s="2">
        <v>50</v>
      </c>
      <c r="C52" s="3">
        <v>35</v>
      </c>
      <c r="D52" s="3">
        <v>34</v>
      </c>
      <c r="E52" s="3">
        <v>32</v>
      </c>
      <c r="F52" s="3">
        <v>34</v>
      </c>
      <c r="G52" s="3">
        <v>32</v>
      </c>
      <c r="H52" s="3">
        <v>31</v>
      </c>
      <c r="I52" s="11">
        <f t="shared" si="0"/>
        <v>33</v>
      </c>
    </row>
    <row r="53" spans="1:9" x14ac:dyDescent="0.25">
      <c r="A53" s="4"/>
      <c r="B53" s="2">
        <v>51</v>
      </c>
      <c r="C53" s="3">
        <v>32</v>
      </c>
      <c r="D53" s="3">
        <v>32</v>
      </c>
      <c r="E53" s="3">
        <v>35</v>
      </c>
      <c r="F53" s="3">
        <v>35</v>
      </c>
      <c r="G53" s="3">
        <v>36</v>
      </c>
      <c r="H53" s="3">
        <v>35</v>
      </c>
      <c r="I53" s="11">
        <f t="shared" si="0"/>
        <v>34.166666666666664</v>
      </c>
    </row>
    <row r="54" spans="1:9" x14ac:dyDescent="0.25">
      <c r="A54" s="4"/>
      <c r="B54" s="2">
        <v>52</v>
      </c>
      <c r="C54" s="3"/>
      <c r="D54" s="3"/>
      <c r="E54" s="3">
        <v>35</v>
      </c>
      <c r="F54" s="3">
        <v>35</v>
      </c>
      <c r="G54" s="3">
        <v>35</v>
      </c>
      <c r="H54" s="3">
        <v>34</v>
      </c>
      <c r="I54" s="11">
        <f t="shared" si="0"/>
        <v>34.75</v>
      </c>
    </row>
    <row r="55" spans="1:9" x14ac:dyDescent="0.25">
      <c r="A55" s="2">
        <v>2024</v>
      </c>
      <c r="B55" s="2">
        <v>1</v>
      </c>
      <c r="C55" s="3">
        <v>28</v>
      </c>
      <c r="D55" s="3">
        <v>34</v>
      </c>
      <c r="E55" s="3">
        <v>34</v>
      </c>
      <c r="F55" s="3">
        <v>36</v>
      </c>
      <c r="G55" s="3">
        <v>35</v>
      </c>
      <c r="H55" s="3">
        <v>35</v>
      </c>
      <c r="I55" s="11">
        <f t="shared" si="0"/>
        <v>33.666666666666664</v>
      </c>
    </row>
    <row r="56" spans="1:9" x14ac:dyDescent="0.25">
      <c r="A56" s="4"/>
      <c r="B56" s="2">
        <v>2</v>
      </c>
      <c r="C56" s="3">
        <v>36</v>
      </c>
      <c r="D56" s="3">
        <v>30</v>
      </c>
      <c r="E56" s="3">
        <v>32</v>
      </c>
      <c r="F56" s="3">
        <v>32</v>
      </c>
      <c r="G56" s="3">
        <v>34</v>
      </c>
      <c r="H56" s="3">
        <v>34</v>
      </c>
      <c r="I56" s="11">
        <f t="shared" si="0"/>
        <v>33</v>
      </c>
    </row>
    <row r="57" spans="1:9" x14ac:dyDescent="0.25">
      <c r="A57" s="4"/>
      <c r="B57" s="2">
        <v>3</v>
      </c>
      <c r="C57" s="3"/>
      <c r="D57" s="3">
        <v>34</v>
      </c>
      <c r="E57" s="3">
        <v>34</v>
      </c>
      <c r="F57" s="3">
        <v>34</v>
      </c>
      <c r="G57" s="3">
        <v>35</v>
      </c>
      <c r="H57" s="3">
        <v>35</v>
      </c>
      <c r="I57" s="11">
        <f t="shared" si="0"/>
        <v>34.4</v>
      </c>
    </row>
    <row r="58" spans="1:9" x14ac:dyDescent="0.25">
      <c r="A58" s="4"/>
      <c r="B58" s="2">
        <v>4</v>
      </c>
      <c r="C58" s="3">
        <v>35</v>
      </c>
      <c r="D58" s="3">
        <v>34</v>
      </c>
      <c r="E58" s="3">
        <v>34</v>
      </c>
      <c r="F58" s="3"/>
      <c r="G58" s="3">
        <v>35</v>
      </c>
      <c r="H58" s="3">
        <v>34</v>
      </c>
      <c r="I58" s="11">
        <f t="shared" si="0"/>
        <v>34.4</v>
      </c>
    </row>
    <row r="59" spans="1:9" x14ac:dyDescent="0.25">
      <c r="A59" s="4"/>
      <c r="B59" s="2">
        <v>5</v>
      </c>
      <c r="C59" s="3">
        <v>35</v>
      </c>
      <c r="D59" s="3">
        <v>36</v>
      </c>
      <c r="E59" s="3">
        <v>35</v>
      </c>
      <c r="F59" s="3">
        <v>36</v>
      </c>
      <c r="G59" s="3">
        <v>34</v>
      </c>
      <c r="H59" s="3">
        <v>36</v>
      </c>
      <c r="I59" s="11">
        <f t="shared" si="0"/>
        <v>35.333333333333336</v>
      </c>
    </row>
    <row r="60" spans="1:9" x14ac:dyDescent="0.25">
      <c r="A60" s="4"/>
      <c r="B60" s="2">
        <v>6</v>
      </c>
      <c r="C60" s="3">
        <v>34</v>
      </c>
      <c r="D60" s="3">
        <v>35</v>
      </c>
      <c r="E60" s="3">
        <v>36</v>
      </c>
      <c r="F60" s="3">
        <v>35</v>
      </c>
      <c r="G60" s="3">
        <v>36</v>
      </c>
      <c r="H60" s="3">
        <v>36</v>
      </c>
      <c r="I60" s="11">
        <f t="shared" si="0"/>
        <v>35.333333333333336</v>
      </c>
    </row>
    <row r="61" spans="1:9" x14ac:dyDescent="0.25">
      <c r="A61" s="4"/>
      <c r="B61" s="2">
        <v>7</v>
      </c>
      <c r="C61" s="3">
        <v>34</v>
      </c>
      <c r="D61" s="3">
        <v>34</v>
      </c>
      <c r="E61" s="3">
        <v>36</v>
      </c>
      <c r="F61" s="3">
        <v>35</v>
      </c>
      <c r="G61" s="3">
        <v>35</v>
      </c>
      <c r="H61" s="3">
        <v>36</v>
      </c>
      <c r="I61" s="11">
        <f t="shared" si="0"/>
        <v>35</v>
      </c>
    </row>
    <row r="62" spans="1:9" x14ac:dyDescent="0.25">
      <c r="A62" s="4"/>
      <c r="B62" s="2">
        <v>8</v>
      </c>
      <c r="C62" s="3">
        <v>37</v>
      </c>
      <c r="D62" s="3">
        <v>35</v>
      </c>
      <c r="E62" s="3">
        <v>36</v>
      </c>
      <c r="F62" s="3">
        <v>37</v>
      </c>
      <c r="G62" s="3"/>
      <c r="H62" s="3">
        <v>37</v>
      </c>
      <c r="I62" s="11">
        <f t="shared" si="0"/>
        <v>36.4</v>
      </c>
    </row>
    <row r="63" spans="1:9" x14ac:dyDescent="0.25">
      <c r="A63" s="4"/>
      <c r="B63" s="2">
        <v>9</v>
      </c>
      <c r="C63" s="3">
        <v>36</v>
      </c>
      <c r="D63" s="3">
        <v>36</v>
      </c>
      <c r="E63" s="3">
        <v>36</v>
      </c>
      <c r="F63" s="3">
        <v>36</v>
      </c>
      <c r="G63" s="3">
        <v>36</v>
      </c>
      <c r="H63" s="3">
        <v>35</v>
      </c>
      <c r="I63" s="11">
        <f t="shared" si="0"/>
        <v>35.833333333333336</v>
      </c>
    </row>
    <row r="64" spans="1:9" x14ac:dyDescent="0.25">
      <c r="A64" s="4"/>
      <c r="B64" s="2">
        <v>10</v>
      </c>
      <c r="C64" s="3">
        <v>38</v>
      </c>
      <c r="D64" s="3">
        <v>36</v>
      </c>
      <c r="E64" s="3">
        <v>38</v>
      </c>
      <c r="F64" s="3">
        <v>34</v>
      </c>
      <c r="G64" s="3">
        <v>34</v>
      </c>
      <c r="H64" s="3">
        <v>38</v>
      </c>
      <c r="I64" s="11">
        <f t="shared" si="0"/>
        <v>36.333333333333336</v>
      </c>
    </row>
    <row r="65" spans="1:9" x14ac:dyDescent="0.25">
      <c r="A65" s="4"/>
      <c r="B65" s="2">
        <v>11</v>
      </c>
      <c r="C65" s="3">
        <v>39</v>
      </c>
      <c r="D65" s="3">
        <v>36</v>
      </c>
      <c r="E65" s="3">
        <v>37</v>
      </c>
      <c r="F65" s="3">
        <v>37</v>
      </c>
      <c r="G65" s="3">
        <v>38</v>
      </c>
      <c r="H65" s="3">
        <v>37</v>
      </c>
      <c r="I65" s="11">
        <f t="shared" si="0"/>
        <v>37.333333333333336</v>
      </c>
    </row>
    <row r="66" spans="1:9" x14ac:dyDescent="0.25">
      <c r="A66" s="4"/>
      <c r="B66" s="2">
        <v>12</v>
      </c>
      <c r="C66" s="3">
        <v>37</v>
      </c>
      <c r="D66" s="3">
        <v>35</v>
      </c>
      <c r="E66" s="3">
        <v>38</v>
      </c>
      <c r="F66" s="3">
        <v>36</v>
      </c>
      <c r="G66" s="3">
        <v>37</v>
      </c>
      <c r="H66" s="3">
        <v>37</v>
      </c>
      <c r="I66" s="11">
        <f t="shared" si="0"/>
        <v>36.666666666666664</v>
      </c>
    </row>
    <row r="67" spans="1:9" x14ac:dyDescent="0.25">
      <c r="A67" s="4"/>
      <c r="B67" s="2">
        <v>13</v>
      </c>
      <c r="C67" s="3">
        <v>36</v>
      </c>
      <c r="D67" s="3">
        <v>36</v>
      </c>
      <c r="E67" s="3">
        <v>36</v>
      </c>
      <c r="F67" s="3">
        <v>36</v>
      </c>
      <c r="G67" s="3">
        <v>36</v>
      </c>
      <c r="H67" s="3">
        <v>34</v>
      </c>
      <c r="I67" s="11">
        <f t="shared" si="0"/>
        <v>35.666666666666664</v>
      </c>
    </row>
    <row r="68" spans="1:9" x14ac:dyDescent="0.25">
      <c r="A68" s="4"/>
      <c r="B68" s="2">
        <v>14</v>
      </c>
      <c r="C68" s="3">
        <v>36</v>
      </c>
      <c r="D68" s="3">
        <v>34</v>
      </c>
      <c r="E68" s="3">
        <v>34</v>
      </c>
      <c r="F68" s="3">
        <v>36</v>
      </c>
      <c r="G68" s="3">
        <v>38</v>
      </c>
      <c r="H68" s="3">
        <v>32</v>
      </c>
      <c r="I68" s="11">
        <f t="shared" ref="I68:I131" si="1">AVERAGE(C68:H68)</f>
        <v>35</v>
      </c>
    </row>
    <row r="69" spans="1:9" x14ac:dyDescent="0.25">
      <c r="A69" s="4"/>
      <c r="B69" s="2">
        <v>15</v>
      </c>
      <c r="C69" s="3">
        <v>32</v>
      </c>
      <c r="D69" s="3">
        <v>34</v>
      </c>
      <c r="E69" s="3">
        <v>34</v>
      </c>
      <c r="F69" s="3">
        <v>34</v>
      </c>
      <c r="G69" s="3">
        <v>32</v>
      </c>
      <c r="H69" s="3"/>
      <c r="I69" s="11">
        <f t="shared" si="1"/>
        <v>33.200000000000003</v>
      </c>
    </row>
    <row r="70" spans="1:9" x14ac:dyDescent="0.25">
      <c r="A70" s="4"/>
      <c r="B70" s="2">
        <v>16</v>
      </c>
      <c r="C70" s="3">
        <v>34</v>
      </c>
      <c r="D70" s="3">
        <v>38</v>
      </c>
      <c r="E70" s="3">
        <v>32</v>
      </c>
      <c r="F70" s="3">
        <v>32</v>
      </c>
      <c r="G70" s="3">
        <v>37</v>
      </c>
      <c r="H70" s="3">
        <v>38</v>
      </c>
      <c r="I70" s="11">
        <f t="shared" si="1"/>
        <v>35.166666666666664</v>
      </c>
    </row>
    <row r="71" spans="1:9" x14ac:dyDescent="0.25">
      <c r="A71" s="4"/>
      <c r="B71" s="2">
        <v>17</v>
      </c>
      <c r="C71" s="3">
        <v>38</v>
      </c>
      <c r="D71" s="3">
        <v>37</v>
      </c>
      <c r="E71" s="3">
        <v>38</v>
      </c>
      <c r="F71" s="3">
        <v>37</v>
      </c>
      <c r="G71" s="3">
        <v>35</v>
      </c>
      <c r="H71" s="3">
        <v>35</v>
      </c>
      <c r="I71" s="11">
        <f t="shared" si="1"/>
        <v>36.666666666666664</v>
      </c>
    </row>
    <row r="72" spans="1:9" x14ac:dyDescent="0.25">
      <c r="A72" s="4"/>
      <c r="B72" s="2">
        <v>18</v>
      </c>
      <c r="C72" s="3">
        <v>37</v>
      </c>
      <c r="D72" s="3">
        <v>34</v>
      </c>
      <c r="E72" s="3"/>
      <c r="F72" s="3">
        <v>36</v>
      </c>
      <c r="G72" s="3">
        <v>38</v>
      </c>
      <c r="H72" s="3">
        <v>38</v>
      </c>
      <c r="I72" s="11">
        <f t="shared" si="1"/>
        <v>36.6</v>
      </c>
    </row>
    <row r="73" spans="1:9" x14ac:dyDescent="0.25">
      <c r="A73" s="4"/>
      <c r="B73" s="2">
        <v>19</v>
      </c>
      <c r="C73" s="3">
        <v>37</v>
      </c>
      <c r="D73" s="3">
        <v>38</v>
      </c>
      <c r="E73" s="3">
        <v>32</v>
      </c>
      <c r="F73" s="3">
        <v>36</v>
      </c>
      <c r="G73" s="3">
        <v>34</v>
      </c>
      <c r="H73" s="3">
        <v>37</v>
      </c>
      <c r="I73" s="11">
        <f t="shared" si="1"/>
        <v>35.666666666666664</v>
      </c>
    </row>
    <row r="74" spans="1:9" x14ac:dyDescent="0.25">
      <c r="A74" s="4"/>
      <c r="B74" s="2">
        <v>20</v>
      </c>
      <c r="C74" s="3">
        <v>36</v>
      </c>
      <c r="D74" s="3">
        <v>37</v>
      </c>
      <c r="E74" s="3">
        <v>37</v>
      </c>
      <c r="F74" s="3">
        <v>34</v>
      </c>
      <c r="G74" s="3">
        <v>34</v>
      </c>
      <c r="H74" s="3">
        <v>36</v>
      </c>
      <c r="I74" s="11">
        <f t="shared" si="1"/>
        <v>35.666666666666664</v>
      </c>
    </row>
    <row r="75" spans="1:9" x14ac:dyDescent="0.25">
      <c r="A75" s="4"/>
      <c r="B75" s="2">
        <v>21</v>
      </c>
      <c r="C75" s="3">
        <v>34</v>
      </c>
      <c r="D75" s="3">
        <v>32</v>
      </c>
      <c r="E75" s="3">
        <v>32</v>
      </c>
      <c r="F75" s="3"/>
      <c r="G75" s="3"/>
      <c r="H75" s="3">
        <v>32</v>
      </c>
      <c r="I75" s="11">
        <f t="shared" si="1"/>
        <v>32.5</v>
      </c>
    </row>
    <row r="76" spans="1:9" x14ac:dyDescent="0.25">
      <c r="A76" s="4"/>
      <c r="B76" s="2">
        <v>22</v>
      </c>
      <c r="C76" s="3">
        <v>30</v>
      </c>
      <c r="D76" s="3">
        <v>28</v>
      </c>
      <c r="E76" s="3">
        <v>30</v>
      </c>
      <c r="F76" s="3">
        <v>30</v>
      </c>
      <c r="G76" s="3">
        <v>30</v>
      </c>
      <c r="H76" s="3">
        <v>36</v>
      </c>
      <c r="I76" s="11">
        <f t="shared" si="1"/>
        <v>30.666666666666668</v>
      </c>
    </row>
    <row r="77" spans="1:9" x14ac:dyDescent="0.25">
      <c r="A77" s="4"/>
      <c r="B77" s="2">
        <v>23</v>
      </c>
      <c r="C77" s="3">
        <v>36</v>
      </c>
      <c r="D77" s="3">
        <v>34</v>
      </c>
      <c r="E77" s="3">
        <v>32</v>
      </c>
      <c r="F77" s="3">
        <v>32</v>
      </c>
      <c r="G77" s="3">
        <v>30</v>
      </c>
      <c r="H77" s="3">
        <v>30</v>
      </c>
      <c r="I77" s="11">
        <f t="shared" si="1"/>
        <v>32.333333333333336</v>
      </c>
    </row>
    <row r="78" spans="1:9" x14ac:dyDescent="0.25">
      <c r="A78" s="4"/>
      <c r="B78" s="2">
        <v>24</v>
      </c>
      <c r="C78" s="3">
        <v>28</v>
      </c>
      <c r="D78" s="3">
        <v>36</v>
      </c>
      <c r="E78" s="3">
        <v>32</v>
      </c>
      <c r="F78" s="3">
        <v>36</v>
      </c>
      <c r="G78" s="3">
        <v>34</v>
      </c>
      <c r="H78" s="3">
        <v>34</v>
      </c>
      <c r="I78" s="11">
        <f t="shared" si="1"/>
        <v>33.333333333333336</v>
      </c>
    </row>
    <row r="79" spans="1:9" x14ac:dyDescent="0.25">
      <c r="A79" s="4"/>
      <c r="B79" s="2">
        <v>25</v>
      </c>
      <c r="C79" s="3">
        <v>34</v>
      </c>
      <c r="D79" s="3">
        <v>34</v>
      </c>
      <c r="E79" s="3">
        <v>32</v>
      </c>
      <c r="F79" s="3">
        <v>28</v>
      </c>
      <c r="G79" s="3"/>
      <c r="H79" s="3">
        <v>32</v>
      </c>
      <c r="I79" s="11">
        <f t="shared" si="1"/>
        <v>32</v>
      </c>
    </row>
    <row r="80" spans="1:9" x14ac:dyDescent="0.25">
      <c r="A80" s="4"/>
      <c r="B80" s="2">
        <v>26</v>
      </c>
      <c r="C80" s="3">
        <v>32</v>
      </c>
      <c r="D80" s="3">
        <v>32</v>
      </c>
      <c r="E80" s="3">
        <v>34</v>
      </c>
      <c r="F80" s="3">
        <v>34</v>
      </c>
      <c r="G80" s="3">
        <v>37</v>
      </c>
      <c r="H80" s="3">
        <v>34</v>
      </c>
      <c r="I80" s="11">
        <f t="shared" si="1"/>
        <v>33.833333333333336</v>
      </c>
    </row>
    <row r="81" spans="1:9" x14ac:dyDescent="0.25">
      <c r="A81" s="4"/>
      <c r="B81" s="2">
        <v>27</v>
      </c>
      <c r="C81" s="3">
        <v>34</v>
      </c>
      <c r="D81" s="3">
        <v>34</v>
      </c>
      <c r="E81" s="3">
        <v>34</v>
      </c>
      <c r="F81" s="3">
        <v>32</v>
      </c>
      <c r="G81" s="3">
        <v>34</v>
      </c>
      <c r="H81" s="3">
        <v>34</v>
      </c>
      <c r="I81" s="11">
        <f t="shared" si="1"/>
        <v>33.666666666666664</v>
      </c>
    </row>
    <row r="82" spans="1:9" x14ac:dyDescent="0.25">
      <c r="A82" s="4"/>
      <c r="B82" s="2">
        <v>28</v>
      </c>
      <c r="C82" s="3">
        <v>32</v>
      </c>
      <c r="D82" s="3">
        <v>34</v>
      </c>
      <c r="E82" s="3">
        <v>34</v>
      </c>
      <c r="F82" s="3">
        <v>34</v>
      </c>
      <c r="G82" s="3">
        <v>32</v>
      </c>
      <c r="H82" s="3">
        <v>32</v>
      </c>
      <c r="I82" s="11">
        <f t="shared" si="1"/>
        <v>33</v>
      </c>
    </row>
    <row r="83" spans="1:9" x14ac:dyDescent="0.25">
      <c r="A83" s="4"/>
      <c r="B83" s="2">
        <v>29</v>
      </c>
      <c r="C83" s="3">
        <v>36</v>
      </c>
      <c r="D83" s="3">
        <v>36</v>
      </c>
      <c r="E83" s="3">
        <v>36</v>
      </c>
      <c r="F83" s="3">
        <v>34</v>
      </c>
      <c r="G83" s="3">
        <v>34</v>
      </c>
      <c r="H83" s="3">
        <v>36</v>
      </c>
      <c r="I83" s="11">
        <f t="shared" si="1"/>
        <v>35.333333333333336</v>
      </c>
    </row>
    <row r="84" spans="1:9" x14ac:dyDescent="0.25">
      <c r="A84" s="4"/>
      <c r="B84" s="2">
        <v>30</v>
      </c>
      <c r="C84" s="3">
        <v>36</v>
      </c>
      <c r="D84" s="3">
        <v>34</v>
      </c>
      <c r="E84" s="3">
        <v>37</v>
      </c>
      <c r="F84" s="3">
        <v>34</v>
      </c>
      <c r="G84" s="3">
        <v>37</v>
      </c>
      <c r="H84" s="3">
        <v>36</v>
      </c>
      <c r="I84" s="11">
        <f t="shared" si="1"/>
        <v>35.666666666666664</v>
      </c>
    </row>
    <row r="85" spans="1:9" x14ac:dyDescent="0.25">
      <c r="A85" s="4"/>
      <c r="B85" s="2">
        <v>31</v>
      </c>
      <c r="C85" s="3">
        <v>36</v>
      </c>
      <c r="D85" s="3">
        <v>32</v>
      </c>
      <c r="E85" s="3">
        <v>34</v>
      </c>
      <c r="F85" s="3">
        <v>37</v>
      </c>
      <c r="G85" s="3">
        <v>36</v>
      </c>
      <c r="H85" s="3">
        <v>36</v>
      </c>
      <c r="I85" s="11">
        <f t="shared" si="1"/>
        <v>35.166666666666664</v>
      </c>
    </row>
    <row r="86" spans="1:9" x14ac:dyDescent="0.25">
      <c r="A86" s="4"/>
      <c r="B86" s="2">
        <v>32</v>
      </c>
      <c r="C86" s="3">
        <v>36</v>
      </c>
      <c r="D86" s="3">
        <v>37</v>
      </c>
      <c r="E86" s="3">
        <v>34</v>
      </c>
      <c r="F86" s="3">
        <v>37</v>
      </c>
      <c r="G86" s="3">
        <v>36</v>
      </c>
      <c r="H86" s="3">
        <v>34</v>
      </c>
      <c r="I86" s="11">
        <f t="shared" si="1"/>
        <v>35.666666666666664</v>
      </c>
    </row>
    <row r="87" spans="1:9" x14ac:dyDescent="0.25">
      <c r="A87" s="4"/>
      <c r="B87" s="2">
        <v>33</v>
      </c>
      <c r="C87" s="3">
        <v>36</v>
      </c>
      <c r="D87" s="3">
        <v>36</v>
      </c>
      <c r="E87" s="3">
        <v>37</v>
      </c>
      <c r="F87" s="3">
        <v>36</v>
      </c>
      <c r="G87" s="3">
        <v>32</v>
      </c>
      <c r="H87" s="3">
        <v>32</v>
      </c>
      <c r="I87" s="11">
        <f t="shared" si="1"/>
        <v>34.833333333333336</v>
      </c>
    </row>
    <row r="88" spans="1:9" x14ac:dyDescent="0.25">
      <c r="A88" s="4"/>
      <c r="B88" s="2">
        <v>34</v>
      </c>
      <c r="C88" s="3"/>
      <c r="D88" s="3">
        <v>36</v>
      </c>
      <c r="E88" s="3">
        <v>36</v>
      </c>
      <c r="F88" s="3">
        <v>36</v>
      </c>
      <c r="G88" s="3">
        <v>34</v>
      </c>
      <c r="H88" s="3">
        <v>37</v>
      </c>
      <c r="I88" s="11">
        <f t="shared" si="1"/>
        <v>35.799999999999997</v>
      </c>
    </row>
    <row r="89" spans="1:9" x14ac:dyDescent="0.25">
      <c r="A89" s="4"/>
      <c r="B89" s="2">
        <v>35</v>
      </c>
      <c r="C89" s="3">
        <v>37</v>
      </c>
      <c r="D89" s="3">
        <v>37</v>
      </c>
      <c r="E89" s="3">
        <v>37</v>
      </c>
      <c r="F89" s="3">
        <v>37</v>
      </c>
      <c r="G89" s="3">
        <v>37</v>
      </c>
      <c r="H89" s="3"/>
      <c r="I89" s="11">
        <f t="shared" si="1"/>
        <v>37</v>
      </c>
    </row>
    <row r="90" spans="1:9" x14ac:dyDescent="0.25">
      <c r="A90" s="4"/>
      <c r="B90" s="2">
        <v>36</v>
      </c>
      <c r="C90" s="3">
        <v>34</v>
      </c>
      <c r="D90" s="3">
        <v>34</v>
      </c>
      <c r="E90" s="3">
        <v>32</v>
      </c>
      <c r="F90" s="3">
        <v>32</v>
      </c>
      <c r="G90" s="3">
        <v>34</v>
      </c>
      <c r="H90" s="3">
        <v>36</v>
      </c>
      <c r="I90" s="11">
        <f t="shared" si="1"/>
        <v>33.666666666666664</v>
      </c>
    </row>
    <row r="91" spans="1:9" x14ac:dyDescent="0.25">
      <c r="A91" s="4"/>
      <c r="B91" s="2">
        <v>37</v>
      </c>
      <c r="C91" s="3">
        <v>36</v>
      </c>
      <c r="D91" s="3">
        <v>34</v>
      </c>
      <c r="E91" s="3">
        <v>35</v>
      </c>
      <c r="F91" s="3">
        <v>34</v>
      </c>
      <c r="G91" s="3">
        <v>36</v>
      </c>
      <c r="H91" s="3">
        <v>37</v>
      </c>
      <c r="I91" s="11">
        <f t="shared" si="1"/>
        <v>35.333333333333336</v>
      </c>
    </row>
    <row r="92" spans="1:9" x14ac:dyDescent="0.25">
      <c r="A92" s="4"/>
      <c r="B92" s="2">
        <v>38</v>
      </c>
      <c r="C92" s="3"/>
      <c r="D92" s="3"/>
      <c r="E92" s="3">
        <v>34</v>
      </c>
      <c r="F92" s="3">
        <v>32</v>
      </c>
      <c r="G92" s="3">
        <v>36</v>
      </c>
      <c r="H92" s="3">
        <v>36</v>
      </c>
      <c r="I92" s="11">
        <f t="shared" si="1"/>
        <v>34.5</v>
      </c>
    </row>
    <row r="93" spans="1:9" x14ac:dyDescent="0.25">
      <c r="A93" s="4"/>
      <c r="B93" s="2">
        <v>39</v>
      </c>
      <c r="C93" s="3">
        <v>35</v>
      </c>
      <c r="D93" s="3">
        <v>36</v>
      </c>
      <c r="E93" s="3">
        <v>36</v>
      </c>
      <c r="F93" s="3">
        <v>36</v>
      </c>
      <c r="G93" s="3">
        <v>37</v>
      </c>
      <c r="H93" s="3">
        <v>36</v>
      </c>
      <c r="I93" s="11">
        <f t="shared" si="1"/>
        <v>36</v>
      </c>
    </row>
    <row r="94" spans="1:9" x14ac:dyDescent="0.25">
      <c r="A94" s="4"/>
      <c r="B94" s="2">
        <v>40</v>
      </c>
      <c r="C94" s="3">
        <v>36</v>
      </c>
      <c r="D94" s="3">
        <v>31</v>
      </c>
      <c r="E94" s="3">
        <v>32</v>
      </c>
      <c r="F94" s="3">
        <v>32</v>
      </c>
      <c r="G94" s="3">
        <v>34</v>
      </c>
      <c r="H94" s="3">
        <v>32</v>
      </c>
      <c r="I94" s="11">
        <f t="shared" si="1"/>
        <v>32.833333333333336</v>
      </c>
    </row>
    <row r="95" spans="1:9" x14ac:dyDescent="0.25">
      <c r="A95" s="4"/>
      <c r="B95" s="2">
        <v>41</v>
      </c>
      <c r="C95" s="3">
        <v>36</v>
      </c>
      <c r="D95" s="3">
        <v>34</v>
      </c>
      <c r="E95" s="3">
        <v>34</v>
      </c>
      <c r="F95" s="3">
        <v>32</v>
      </c>
      <c r="G95" s="3">
        <v>32</v>
      </c>
      <c r="H95" s="3">
        <v>31</v>
      </c>
      <c r="I95" s="11">
        <f t="shared" si="1"/>
        <v>33.166666666666664</v>
      </c>
    </row>
    <row r="96" spans="1:9" x14ac:dyDescent="0.25">
      <c r="A96" s="4"/>
      <c r="B96" s="2">
        <v>42</v>
      </c>
      <c r="C96" s="3">
        <v>32</v>
      </c>
      <c r="D96" s="3">
        <v>32</v>
      </c>
      <c r="E96" s="3">
        <v>31</v>
      </c>
      <c r="F96" s="3">
        <v>32</v>
      </c>
      <c r="G96" s="3">
        <v>34</v>
      </c>
      <c r="H96" s="3">
        <v>32</v>
      </c>
      <c r="I96" s="11">
        <f t="shared" si="1"/>
        <v>32.166666666666664</v>
      </c>
    </row>
    <row r="97" spans="1:9" x14ac:dyDescent="0.25">
      <c r="A97" s="4"/>
      <c r="B97" s="2">
        <v>43</v>
      </c>
      <c r="C97" s="3">
        <v>31</v>
      </c>
      <c r="D97" s="3">
        <v>37</v>
      </c>
      <c r="E97" s="3">
        <v>36</v>
      </c>
      <c r="F97" s="3">
        <v>36</v>
      </c>
      <c r="G97" s="3">
        <v>37</v>
      </c>
      <c r="H97" s="3">
        <v>34</v>
      </c>
      <c r="I97" s="11">
        <f t="shared" si="1"/>
        <v>35.166666666666664</v>
      </c>
    </row>
    <row r="98" spans="1:9" x14ac:dyDescent="0.25">
      <c r="A98" s="4"/>
      <c r="B98" s="2">
        <v>44</v>
      </c>
      <c r="C98" s="3">
        <v>35</v>
      </c>
      <c r="D98" s="3">
        <v>34</v>
      </c>
      <c r="E98" s="3">
        <v>34</v>
      </c>
      <c r="F98" s="3">
        <v>36</v>
      </c>
      <c r="G98" s="3">
        <v>34</v>
      </c>
      <c r="H98" s="3">
        <v>34</v>
      </c>
      <c r="I98" s="11">
        <f t="shared" si="1"/>
        <v>34.5</v>
      </c>
    </row>
    <row r="99" spans="1:9" x14ac:dyDescent="0.25">
      <c r="A99" s="4"/>
      <c r="B99" s="2">
        <v>45</v>
      </c>
      <c r="C99" s="3">
        <v>32</v>
      </c>
      <c r="D99" s="3">
        <v>32</v>
      </c>
      <c r="E99" s="3">
        <v>30</v>
      </c>
      <c r="F99" s="3">
        <v>32</v>
      </c>
      <c r="G99" s="3">
        <v>34</v>
      </c>
      <c r="H99" s="3">
        <v>34</v>
      </c>
      <c r="I99" s="11">
        <f t="shared" si="1"/>
        <v>32.333333333333336</v>
      </c>
    </row>
    <row r="100" spans="1:9" x14ac:dyDescent="0.25">
      <c r="A100" s="4"/>
      <c r="B100" s="2">
        <v>46</v>
      </c>
      <c r="C100" s="3">
        <v>34</v>
      </c>
      <c r="D100" s="3">
        <v>32</v>
      </c>
      <c r="E100" s="3">
        <v>32</v>
      </c>
      <c r="F100" s="3">
        <v>34</v>
      </c>
      <c r="G100" s="3"/>
      <c r="H100" s="3">
        <v>36</v>
      </c>
      <c r="I100" s="11">
        <f t="shared" si="1"/>
        <v>33.6</v>
      </c>
    </row>
    <row r="101" spans="1:9" x14ac:dyDescent="0.25">
      <c r="A101" s="4"/>
      <c r="B101" s="2">
        <v>47</v>
      </c>
      <c r="C101" s="3">
        <v>34</v>
      </c>
      <c r="D101" s="3">
        <v>34</v>
      </c>
      <c r="E101" s="3">
        <v>34</v>
      </c>
      <c r="F101" s="3">
        <v>34</v>
      </c>
      <c r="G101" s="3">
        <v>37</v>
      </c>
      <c r="H101" s="3">
        <v>34</v>
      </c>
      <c r="I101" s="11">
        <f t="shared" si="1"/>
        <v>34.5</v>
      </c>
    </row>
    <row r="102" spans="1:9" x14ac:dyDescent="0.25">
      <c r="A102" s="4"/>
      <c r="B102" s="2">
        <v>48</v>
      </c>
      <c r="C102" s="3">
        <v>36</v>
      </c>
      <c r="D102" s="3">
        <v>32</v>
      </c>
      <c r="E102" s="3">
        <v>30</v>
      </c>
      <c r="F102" s="3">
        <v>28</v>
      </c>
      <c r="G102" s="3">
        <v>28</v>
      </c>
      <c r="H102" s="3">
        <v>28</v>
      </c>
      <c r="I102" s="11">
        <f t="shared" si="1"/>
        <v>30.333333333333332</v>
      </c>
    </row>
    <row r="103" spans="1:9" x14ac:dyDescent="0.25">
      <c r="A103" s="4"/>
      <c r="B103" s="2">
        <v>49</v>
      </c>
      <c r="C103" s="3">
        <v>36</v>
      </c>
      <c r="D103" s="3">
        <v>36</v>
      </c>
      <c r="E103" s="3">
        <v>34</v>
      </c>
      <c r="F103" s="3">
        <v>37</v>
      </c>
      <c r="G103" s="3">
        <v>37</v>
      </c>
      <c r="H103" s="3">
        <v>36</v>
      </c>
      <c r="I103" s="11">
        <f t="shared" si="1"/>
        <v>36</v>
      </c>
    </row>
    <row r="104" spans="1:9" x14ac:dyDescent="0.25">
      <c r="A104" s="4"/>
      <c r="B104" s="2">
        <v>50</v>
      </c>
      <c r="C104" s="3">
        <v>37</v>
      </c>
      <c r="D104" s="3">
        <v>36</v>
      </c>
      <c r="E104" s="3">
        <v>36</v>
      </c>
      <c r="F104" s="3">
        <v>34</v>
      </c>
      <c r="G104" s="3">
        <v>34</v>
      </c>
      <c r="H104" s="3"/>
      <c r="I104" s="11">
        <f t="shared" si="1"/>
        <v>35.4</v>
      </c>
    </row>
    <row r="105" spans="1:9" x14ac:dyDescent="0.25">
      <c r="A105" s="4"/>
      <c r="B105" s="2">
        <v>51</v>
      </c>
      <c r="C105" s="3">
        <v>28</v>
      </c>
      <c r="D105" s="3">
        <v>28</v>
      </c>
      <c r="E105" s="3">
        <v>32</v>
      </c>
      <c r="F105" s="3">
        <v>34</v>
      </c>
      <c r="G105" s="3">
        <v>36</v>
      </c>
      <c r="H105" s="3">
        <v>36</v>
      </c>
      <c r="I105" s="11">
        <f t="shared" si="1"/>
        <v>32.333333333333336</v>
      </c>
    </row>
    <row r="106" spans="1:9" x14ac:dyDescent="0.25">
      <c r="A106" s="4"/>
      <c r="B106" s="2">
        <v>52</v>
      </c>
      <c r="C106" s="3">
        <v>34</v>
      </c>
      <c r="D106" s="3">
        <v>34</v>
      </c>
      <c r="E106" s="3"/>
      <c r="F106" s="3">
        <v>34</v>
      </c>
      <c r="G106" s="3">
        <v>32</v>
      </c>
      <c r="H106" s="3">
        <v>34</v>
      </c>
      <c r="I106" s="11">
        <f t="shared" si="1"/>
        <v>33.6</v>
      </c>
    </row>
    <row r="107" spans="1:9" x14ac:dyDescent="0.25">
      <c r="A107" s="2">
        <v>2025</v>
      </c>
      <c r="B107" s="2">
        <v>1</v>
      </c>
      <c r="C107" s="3">
        <v>34</v>
      </c>
      <c r="D107" s="3">
        <v>36</v>
      </c>
      <c r="E107" s="3">
        <v>32</v>
      </c>
      <c r="F107" s="3">
        <v>30</v>
      </c>
      <c r="G107" s="3">
        <v>30</v>
      </c>
      <c r="H107" s="3">
        <v>30</v>
      </c>
      <c r="I107" s="11">
        <f t="shared" si="1"/>
        <v>32</v>
      </c>
    </row>
    <row r="108" spans="1:9" x14ac:dyDescent="0.25">
      <c r="A108" s="4"/>
      <c r="B108" s="2">
        <v>2</v>
      </c>
      <c r="C108" s="3">
        <v>35</v>
      </c>
      <c r="D108" s="3">
        <v>34</v>
      </c>
      <c r="E108" s="3">
        <v>34</v>
      </c>
      <c r="F108" s="3">
        <v>34</v>
      </c>
      <c r="G108" s="3">
        <v>32</v>
      </c>
      <c r="H108" s="3">
        <v>28</v>
      </c>
      <c r="I108" s="11">
        <f t="shared" si="1"/>
        <v>32.833333333333336</v>
      </c>
    </row>
    <row r="109" spans="1:9" x14ac:dyDescent="0.25">
      <c r="A109" s="4"/>
      <c r="B109" s="2">
        <v>3</v>
      </c>
      <c r="C109" s="3"/>
      <c r="D109" s="3"/>
      <c r="E109" s="3">
        <v>32</v>
      </c>
      <c r="F109" s="3">
        <v>31</v>
      </c>
      <c r="G109" s="3">
        <v>32</v>
      </c>
      <c r="H109" s="3">
        <v>34</v>
      </c>
      <c r="I109" s="11">
        <f t="shared" si="1"/>
        <v>32.25</v>
      </c>
    </row>
    <row r="110" spans="1:9" x14ac:dyDescent="0.25">
      <c r="A110" s="4"/>
      <c r="B110" s="2">
        <v>4</v>
      </c>
      <c r="C110" s="3">
        <v>32</v>
      </c>
      <c r="D110" s="3">
        <v>32</v>
      </c>
      <c r="E110" s="3">
        <v>32</v>
      </c>
      <c r="F110" s="3">
        <v>30</v>
      </c>
      <c r="G110" s="3">
        <v>32</v>
      </c>
      <c r="H110" s="3">
        <v>31</v>
      </c>
      <c r="I110" s="11">
        <f t="shared" si="1"/>
        <v>31.5</v>
      </c>
    </row>
    <row r="111" spans="1:9" x14ac:dyDescent="0.25">
      <c r="A111" s="4"/>
      <c r="B111" s="2">
        <v>5</v>
      </c>
      <c r="C111" s="3">
        <v>33</v>
      </c>
      <c r="D111" s="3">
        <v>32</v>
      </c>
      <c r="E111" s="3">
        <v>30</v>
      </c>
      <c r="F111" s="3">
        <v>34</v>
      </c>
      <c r="G111" s="3">
        <v>34</v>
      </c>
      <c r="H111" s="3">
        <v>34</v>
      </c>
      <c r="I111" s="11">
        <f t="shared" si="1"/>
        <v>32.833333333333336</v>
      </c>
    </row>
    <row r="112" spans="1:9" x14ac:dyDescent="0.25">
      <c r="A112" s="4"/>
      <c r="B112" s="2">
        <v>6</v>
      </c>
      <c r="C112" s="3">
        <v>34</v>
      </c>
      <c r="D112" s="3"/>
      <c r="E112" s="3">
        <v>36</v>
      </c>
      <c r="F112" s="3">
        <v>34</v>
      </c>
      <c r="G112" s="3">
        <v>33</v>
      </c>
      <c r="H112" s="3">
        <v>34</v>
      </c>
      <c r="I112" s="11">
        <f t="shared" si="1"/>
        <v>34.200000000000003</v>
      </c>
    </row>
    <row r="113" spans="1:9" x14ac:dyDescent="0.25">
      <c r="A113" s="4"/>
      <c r="B113" s="2">
        <v>7</v>
      </c>
      <c r="C113" s="3">
        <v>33</v>
      </c>
      <c r="D113" s="3">
        <v>35</v>
      </c>
      <c r="E113" s="3">
        <v>33</v>
      </c>
      <c r="F113" s="3">
        <v>33</v>
      </c>
      <c r="G113" s="3">
        <v>35</v>
      </c>
      <c r="H113" s="3">
        <v>35</v>
      </c>
      <c r="I113" s="11">
        <f t="shared" si="1"/>
        <v>34</v>
      </c>
    </row>
    <row r="114" spans="1:9" x14ac:dyDescent="0.25">
      <c r="A114" s="4"/>
      <c r="B114" s="2">
        <v>8</v>
      </c>
      <c r="C114" s="3">
        <v>36</v>
      </c>
      <c r="D114" s="3">
        <v>35</v>
      </c>
      <c r="E114" s="3">
        <v>34</v>
      </c>
      <c r="F114" s="3">
        <v>35</v>
      </c>
      <c r="G114" s="3">
        <v>34</v>
      </c>
      <c r="H114" s="3">
        <v>35</v>
      </c>
      <c r="I114" s="11">
        <f t="shared" si="1"/>
        <v>34.833333333333336</v>
      </c>
    </row>
    <row r="115" spans="1:9" x14ac:dyDescent="0.25">
      <c r="A115" s="4"/>
      <c r="B115" s="2">
        <v>9</v>
      </c>
      <c r="C115" s="3">
        <v>37</v>
      </c>
      <c r="D115" s="3">
        <v>35</v>
      </c>
      <c r="E115" s="3">
        <v>36</v>
      </c>
      <c r="F115" s="3">
        <v>35</v>
      </c>
      <c r="G115" s="3">
        <v>34</v>
      </c>
      <c r="H115" s="3">
        <v>35</v>
      </c>
      <c r="I115" s="11">
        <f t="shared" si="1"/>
        <v>35.333333333333336</v>
      </c>
    </row>
    <row r="116" spans="1:9" x14ac:dyDescent="0.25">
      <c r="A116" s="4"/>
      <c r="B116" s="2">
        <v>10</v>
      </c>
      <c r="C116" s="3">
        <v>37</v>
      </c>
      <c r="D116" s="3">
        <v>33</v>
      </c>
      <c r="E116" s="3">
        <v>37</v>
      </c>
      <c r="F116" s="3">
        <v>35</v>
      </c>
      <c r="G116" s="3">
        <v>35</v>
      </c>
      <c r="H116" s="3">
        <v>35</v>
      </c>
      <c r="I116" s="11">
        <f t="shared" si="1"/>
        <v>35.333333333333336</v>
      </c>
    </row>
    <row r="117" spans="1:9" x14ac:dyDescent="0.25">
      <c r="A117" s="4"/>
      <c r="B117" s="2">
        <v>11</v>
      </c>
      <c r="C117" s="3">
        <v>35</v>
      </c>
      <c r="D117" s="3">
        <v>30</v>
      </c>
      <c r="E117" s="3">
        <v>32</v>
      </c>
      <c r="F117" s="3">
        <v>32</v>
      </c>
      <c r="G117" s="3">
        <v>36</v>
      </c>
      <c r="H117" s="3">
        <v>33</v>
      </c>
      <c r="I117" s="11">
        <f t="shared" si="1"/>
        <v>33</v>
      </c>
    </row>
    <row r="118" spans="1:9" x14ac:dyDescent="0.25">
      <c r="A118" s="4"/>
      <c r="B118" s="2">
        <v>12</v>
      </c>
      <c r="C118" s="3">
        <v>38</v>
      </c>
      <c r="D118" s="3">
        <v>38</v>
      </c>
      <c r="E118" s="3">
        <v>36</v>
      </c>
      <c r="F118" s="3">
        <v>36</v>
      </c>
      <c r="G118" s="3">
        <v>39</v>
      </c>
      <c r="H118" s="3">
        <v>34</v>
      </c>
      <c r="I118" s="11">
        <f t="shared" si="1"/>
        <v>36.833333333333336</v>
      </c>
    </row>
    <row r="119" spans="1:9" x14ac:dyDescent="0.25">
      <c r="A119" s="4"/>
      <c r="B119" s="2">
        <v>13</v>
      </c>
      <c r="C119" s="3">
        <v>37</v>
      </c>
      <c r="D119" s="3">
        <v>36</v>
      </c>
      <c r="E119" s="3">
        <v>37</v>
      </c>
      <c r="F119" s="3">
        <v>35</v>
      </c>
      <c r="G119" s="3">
        <v>33</v>
      </c>
      <c r="H119" s="3">
        <v>35</v>
      </c>
      <c r="I119" s="11">
        <f t="shared" si="1"/>
        <v>35.5</v>
      </c>
    </row>
    <row r="120" spans="1:9" x14ac:dyDescent="0.25">
      <c r="A120" s="4"/>
      <c r="B120" s="2">
        <v>14</v>
      </c>
      <c r="C120" s="3">
        <v>33</v>
      </c>
      <c r="D120" s="3"/>
      <c r="E120" s="3">
        <v>37</v>
      </c>
      <c r="F120" s="3">
        <v>33</v>
      </c>
      <c r="G120" s="3">
        <v>35</v>
      </c>
      <c r="H120" s="3">
        <v>32</v>
      </c>
      <c r="I120" s="11">
        <f t="shared" si="1"/>
        <v>34</v>
      </c>
    </row>
    <row r="121" spans="1:9" x14ac:dyDescent="0.25">
      <c r="A121" s="4"/>
      <c r="B121" s="2">
        <v>15</v>
      </c>
      <c r="C121" s="3">
        <v>37</v>
      </c>
      <c r="D121" s="3">
        <v>34</v>
      </c>
      <c r="E121" s="3">
        <v>32</v>
      </c>
      <c r="F121" s="3">
        <v>34</v>
      </c>
      <c r="G121" s="3"/>
      <c r="H121" s="3"/>
      <c r="I121" s="11">
        <f t="shared" si="1"/>
        <v>34.25</v>
      </c>
    </row>
    <row r="122" spans="1:9" x14ac:dyDescent="0.25">
      <c r="A122" s="4"/>
      <c r="B122" s="2">
        <v>16</v>
      </c>
      <c r="C122" s="3"/>
      <c r="D122" s="3"/>
      <c r="E122" s="3">
        <v>32</v>
      </c>
      <c r="F122" s="3">
        <v>35</v>
      </c>
      <c r="G122" s="3">
        <v>33</v>
      </c>
      <c r="H122" s="3">
        <v>34</v>
      </c>
      <c r="I122" s="11">
        <f t="shared" si="1"/>
        <v>33.5</v>
      </c>
    </row>
    <row r="123" spans="1:9" x14ac:dyDescent="0.25">
      <c r="A123" s="4"/>
      <c r="B123" s="2">
        <v>17</v>
      </c>
      <c r="C123" s="3">
        <v>36</v>
      </c>
      <c r="D123" s="3">
        <v>36</v>
      </c>
      <c r="E123" s="3">
        <v>33</v>
      </c>
      <c r="F123" s="3">
        <v>34</v>
      </c>
      <c r="G123" s="3">
        <v>33</v>
      </c>
      <c r="H123" s="3">
        <v>30</v>
      </c>
      <c r="I123" s="11">
        <f t="shared" si="1"/>
        <v>33.666666666666664</v>
      </c>
    </row>
    <row r="124" spans="1:9" x14ac:dyDescent="0.25">
      <c r="A124" s="4"/>
      <c r="B124" s="2">
        <v>18</v>
      </c>
      <c r="C124" s="3">
        <v>33</v>
      </c>
      <c r="D124" s="3">
        <v>32</v>
      </c>
      <c r="E124" s="3">
        <v>30</v>
      </c>
      <c r="F124" s="3"/>
      <c r="G124" s="3">
        <v>35</v>
      </c>
      <c r="H124" s="3">
        <v>31</v>
      </c>
      <c r="I124" s="11">
        <f t="shared" si="1"/>
        <v>32.200000000000003</v>
      </c>
    </row>
    <row r="125" spans="1:9" x14ac:dyDescent="0.25">
      <c r="A125" s="4"/>
      <c r="B125" s="2">
        <v>19</v>
      </c>
      <c r="C125" s="3">
        <v>35</v>
      </c>
      <c r="D125" s="3">
        <v>35</v>
      </c>
      <c r="E125" s="3">
        <v>34</v>
      </c>
      <c r="F125" s="3">
        <v>34</v>
      </c>
      <c r="G125" s="3">
        <v>34</v>
      </c>
      <c r="H125" s="3">
        <v>34</v>
      </c>
      <c r="I125" s="11">
        <f t="shared" si="1"/>
        <v>34.333333333333336</v>
      </c>
    </row>
    <row r="126" spans="1:9" x14ac:dyDescent="0.25">
      <c r="A126" s="4"/>
      <c r="B126" s="2">
        <v>20</v>
      </c>
      <c r="C126" s="3">
        <v>30</v>
      </c>
      <c r="D126" s="3">
        <v>33</v>
      </c>
      <c r="E126" s="3">
        <v>34</v>
      </c>
      <c r="F126" s="3">
        <v>33</v>
      </c>
      <c r="G126" s="3">
        <v>31</v>
      </c>
      <c r="H126" s="3">
        <v>30</v>
      </c>
      <c r="I126" s="11">
        <f t="shared" si="1"/>
        <v>31.833333333333332</v>
      </c>
    </row>
    <row r="127" spans="1:9" x14ac:dyDescent="0.25">
      <c r="A127" s="4"/>
      <c r="B127" s="2">
        <v>21</v>
      </c>
      <c r="C127" s="3">
        <v>35</v>
      </c>
      <c r="D127" s="3">
        <v>30</v>
      </c>
      <c r="E127" s="3">
        <v>30</v>
      </c>
      <c r="F127" s="3">
        <v>32</v>
      </c>
      <c r="G127" s="3">
        <v>30</v>
      </c>
      <c r="H127" s="3">
        <v>30</v>
      </c>
      <c r="I127" s="11">
        <f t="shared" si="1"/>
        <v>31.166666666666668</v>
      </c>
    </row>
    <row r="128" spans="1:9" x14ac:dyDescent="0.25">
      <c r="A128" s="4"/>
      <c r="B128" s="2">
        <v>22</v>
      </c>
      <c r="C128" s="3">
        <v>30</v>
      </c>
      <c r="D128" s="3">
        <v>31</v>
      </c>
      <c r="E128" s="3">
        <v>34</v>
      </c>
      <c r="F128" s="3">
        <v>33</v>
      </c>
      <c r="G128" s="3">
        <v>30</v>
      </c>
      <c r="H128" s="3">
        <v>32</v>
      </c>
      <c r="I128" s="11">
        <f t="shared" si="1"/>
        <v>31.666666666666668</v>
      </c>
    </row>
    <row r="129" spans="1:9" x14ac:dyDescent="0.25">
      <c r="A129" s="4"/>
      <c r="B129" s="2">
        <v>23</v>
      </c>
      <c r="C129" s="3">
        <v>32</v>
      </c>
      <c r="D129" s="3">
        <v>30</v>
      </c>
      <c r="E129" s="3">
        <v>35</v>
      </c>
      <c r="F129" s="3">
        <v>30</v>
      </c>
      <c r="G129" s="3">
        <v>31</v>
      </c>
      <c r="H129" s="3">
        <v>32</v>
      </c>
      <c r="I129" s="11">
        <f t="shared" si="1"/>
        <v>31.666666666666668</v>
      </c>
    </row>
    <row r="130" spans="1:9" x14ac:dyDescent="0.25">
      <c r="A130" s="4"/>
      <c r="B130" s="2">
        <v>24</v>
      </c>
      <c r="C130" s="3">
        <v>30</v>
      </c>
      <c r="D130" s="3"/>
      <c r="E130" s="3">
        <v>33</v>
      </c>
      <c r="F130" s="3">
        <v>33</v>
      </c>
      <c r="G130" s="3">
        <v>31</v>
      </c>
      <c r="H130" s="3">
        <v>33</v>
      </c>
      <c r="I130" s="11">
        <f t="shared" si="1"/>
        <v>32</v>
      </c>
    </row>
    <row r="131" spans="1:9" x14ac:dyDescent="0.25">
      <c r="A131" s="4"/>
      <c r="B131" s="2">
        <v>25</v>
      </c>
      <c r="C131" s="3">
        <v>30</v>
      </c>
      <c r="D131" s="3">
        <v>31</v>
      </c>
      <c r="E131" s="3">
        <v>32</v>
      </c>
      <c r="F131" s="3">
        <v>34</v>
      </c>
      <c r="G131" s="3">
        <v>30</v>
      </c>
      <c r="H131" s="3">
        <v>32</v>
      </c>
      <c r="I131" s="11">
        <f t="shared" si="1"/>
        <v>31.5</v>
      </c>
    </row>
    <row r="132" spans="1:9" x14ac:dyDescent="0.25">
      <c r="A132" s="4"/>
      <c r="B132" s="2">
        <v>26</v>
      </c>
      <c r="C132" s="3">
        <v>34</v>
      </c>
      <c r="D132" s="3">
        <v>33</v>
      </c>
      <c r="E132" s="3">
        <v>32</v>
      </c>
      <c r="F132" s="3">
        <v>33</v>
      </c>
      <c r="G132" s="3">
        <v>33</v>
      </c>
      <c r="H132" s="3">
        <v>32</v>
      </c>
      <c r="I132" s="11">
        <f t="shared" ref="I132:I159" si="2">AVERAGE(C132:H132)</f>
        <v>32.833333333333336</v>
      </c>
    </row>
    <row r="133" spans="1:9" x14ac:dyDescent="0.25">
      <c r="A133" s="4"/>
      <c r="B133" s="2">
        <v>27</v>
      </c>
      <c r="C133" s="3">
        <v>33</v>
      </c>
      <c r="D133" s="3">
        <v>32</v>
      </c>
      <c r="E133" s="3">
        <v>35</v>
      </c>
      <c r="F133" s="3">
        <v>30</v>
      </c>
      <c r="G133" s="3">
        <v>35</v>
      </c>
      <c r="H133" s="3">
        <v>35</v>
      </c>
      <c r="I133" s="11">
        <f t="shared" si="2"/>
        <v>33.333333333333336</v>
      </c>
    </row>
    <row r="134" spans="1:9" x14ac:dyDescent="0.25">
      <c r="A134" s="4"/>
      <c r="B134" s="2">
        <v>28</v>
      </c>
      <c r="C134" s="3">
        <v>32</v>
      </c>
      <c r="D134" s="3">
        <v>30</v>
      </c>
      <c r="E134" s="3">
        <v>35</v>
      </c>
      <c r="F134" s="3"/>
      <c r="G134" s="3">
        <v>30</v>
      </c>
      <c r="H134" s="3">
        <v>34</v>
      </c>
      <c r="I134" s="11">
        <f t="shared" si="2"/>
        <v>32.200000000000003</v>
      </c>
    </row>
    <row r="135" spans="1:9" x14ac:dyDescent="0.25">
      <c r="A135" s="4"/>
      <c r="B135" s="2">
        <v>29</v>
      </c>
      <c r="C135" s="3">
        <v>35</v>
      </c>
      <c r="D135" s="3">
        <v>31</v>
      </c>
      <c r="E135" s="3">
        <v>35</v>
      </c>
      <c r="F135" s="3">
        <v>33</v>
      </c>
      <c r="G135" s="3">
        <v>36</v>
      </c>
      <c r="H135" s="3">
        <v>35</v>
      </c>
      <c r="I135" s="11">
        <f t="shared" si="2"/>
        <v>34.166666666666664</v>
      </c>
    </row>
    <row r="136" spans="1:9" x14ac:dyDescent="0.25">
      <c r="A136" s="4"/>
      <c r="B136" s="2">
        <v>30</v>
      </c>
      <c r="C136" s="3">
        <v>32</v>
      </c>
      <c r="D136" s="3">
        <v>35</v>
      </c>
      <c r="E136" s="3">
        <v>33</v>
      </c>
      <c r="F136" s="3">
        <v>31</v>
      </c>
      <c r="G136" s="3">
        <v>31</v>
      </c>
      <c r="H136" s="3">
        <v>33</v>
      </c>
      <c r="I136" s="11">
        <f t="shared" si="2"/>
        <v>32.5</v>
      </c>
    </row>
    <row r="137" spans="1:9" x14ac:dyDescent="0.25">
      <c r="A137" s="4"/>
      <c r="B137" s="2">
        <v>31</v>
      </c>
      <c r="C137" s="3">
        <v>35</v>
      </c>
      <c r="D137" s="3">
        <v>30</v>
      </c>
      <c r="E137" s="3">
        <v>32</v>
      </c>
      <c r="F137" s="3">
        <v>32</v>
      </c>
      <c r="G137" s="3">
        <v>35</v>
      </c>
      <c r="H137" s="3">
        <v>35</v>
      </c>
      <c r="I137" s="11">
        <f t="shared" si="2"/>
        <v>33.166666666666664</v>
      </c>
    </row>
    <row r="138" spans="1:9" x14ac:dyDescent="0.25">
      <c r="A138" s="4"/>
      <c r="B138" s="2">
        <v>32</v>
      </c>
      <c r="C138" s="3">
        <v>33</v>
      </c>
      <c r="D138" s="3">
        <v>32</v>
      </c>
      <c r="E138" s="3">
        <v>35</v>
      </c>
      <c r="F138" s="3">
        <v>30</v>
      </c>
      <c r="G138" s="3"/>
      <c r="H138" s="3">
        <v>34</v>
      </c>
      <c r="I138" s="11">
        <f t="shared" si="2"/>
        <v>32.799999999999997</v>
      </c>
    </row>
    <row r="139" spans="1:9" x14ac:dyDescent="0.25">
      <c r="A139" s="4"/>
      <c r="B139" s="2">
        <v>33</v>
      </c>
      <c r="C139" s="3">
        <v>30</v>
      </c>
      <c r="D139" s="3">
        <v>30</v>
      </c>
      <c r="E139" s="3">
        <v>30</v>
      </c>
      <c r="F139" s="3">
        <v>34</v>
      </c>
      <c r="G139" s="3">
        <v>32</v>
      </c>
      <c r="H139" s="3">
        <v>32</v>
      </c>
      <c r="I139" s="11">
        <f t="shared" si="2"/>
        <v>31.333333333333332</v>
      </c>
    </row>
    <row r="140" spans="1:9" x14ac:dyDescent="0.25">
      <c r="A140" s="4"/>
      <c r="B140" s="2">
        <v>34</v>
      </c>
      <c r="C140" s="3">
        <v>30</v>
      </c>
      <c r="D140" s="3">
        <v>35</v>
      </c>
      <c r="E140" s="3">
        <v>34</v>
      </c>
      <c r="F140" s="3">
        <v>35</v>
      </c>
      <c r="G140" s="3">
        <v>33</v>
      </c>
      <c r="H140" s="3">
        <v>32</v>
      </c>
      <c r="I140" s="11">
        <f t="shared" si="2"/>
        <v>33.166666666666664</v>
      </c>
    </row>
    <row r="141" spans="1:9" x14ac:dyDescent="0.25">
      <c r="A141" s="4"/>
      <c r="B141" s="2">
        <v>35</v>
      </c>
      <c r="C141" s="3">
        <v>35</v>
      </c>
      <c r="D141" s="3">
        <v>36</v>
      </c>
      <c r="E141" s="3">
        <v>36</v>
      </c>
      <c r="F141" s="3">
        <v>36</v>
      </c>
      <c r="G141" s="3">
        <v>35</v>
      </c>
      <c r="H141" s="3">
        <v>34</v>
      </c>
      <c r="I141" s="11">
        <f t="shared" si="2"/>
        <v>35.333333333333336</v>
      </c>
    </row>
    <row r="142" spans="1:9" x14ac:dyDescent="0.25">
      <c r="A142" s="4"/>
      <c r="B142" s="2">
        <v>36</v>
      </c>
      <c r="C142" s="3">
        <v>33</v>
      </c>
      <c r="D142" s="3">
        <v>31</v>
      </c>
      <c r="E142" s="3">
        <v>34</v>
      </c>
      <c r="F142" s="3">
        <v>33</v>
      </c>
      <c r="G142" s="3"/>
      <c r="H142" s="3">
        <v>32</v>
      </c>
      <c r="I142" s="11">
        <f t="shared" si="2"/>
        <v>32.6</v>
      </c>
    </row>
    <row r="143" spans="1:9" x14ac:dyDescent="0.25">
      <c r="A143" s="4"/>
      <c r="B143" s="2">
        <v>37</v>
      </c>
      <c r="C143" s="3">
        <v>30</v>
      </c>
      <c r="D143" s="3">
        <v>34</v>
      </c>
      <c r="E143" s="3">
        <v>34</v>
      </c>
      <c r="F143" s="3">
        <v>32</v>
      </c>
      <c r="G143" s="3">
        <v>32</v>
      </c>
      <c r="H143" s="3">
        <v>33</v>
      </c>
      <c r="I143" s="11">
        <f t="shared" si="2"/>
        <v>32.5</v>
      </c>
    </row>
    <row r="144" spans="1:9" x14ac:dyDescent="0.25">
      <c r="A144" s="4"/>
      <c r="B144" s="2">
        <v>38</v>
      </c>
      <c r="C144" s="3">
        <v>34</v>
      </c>
      <c r="D144" s="3">
        <v>31</v>
      </c>
      <c r="E144" s="3">
        <v>32</v>
      </c>
      <c r="F144" s="3">
        <v>31</v>
      </c>
      <c r="G144" s="3">
        <v>32</v>
      </c>
      <c r="H144" s="3">
        <v>30</v>
      </c>
      <c r="I144" s="11">
        <f t="shared" si="2"/>
        <v>31.666666666666668</v>
      </c>
    </row>
    <row r="145" spans="1:9" x14ac:dyDescent="0.25">
      <c r="A145" s="4"/>
      <c r="B145" s="2">
        <v>39</v>
      </c>
      <c r="C145" s="3">
        <v>30</v>
      </c>
      <c r="D145" s="3">
        <v>36</v>
      </c>
      <c r="E145" s="3">
        <v>35</v>
      </c>
      <c r="F145" s="3">
        <v>34</v>
      </c>
      <c r="G145" s="3">
        <v>32</v>
      </c>
      <c r="H145" s="3">
        <v>30</v>
      </c>
      <c r="I145" s="11">
        <f t="shared" si="2"/>
        <v>32.833333333333336</v>
      </c>
    </row>
    <row r="146" spans="1:9" x14ac:dyDescent="0.25">
      <c r="A146" s="4"/>
      <c r="B146" s="2">
        <v>40</v>
      </c>
      <c r="C146" s="3">
        <v>30</v>
      </c>
      <c r="D146" s="3">
        <v>30</v>
      </c>
      <c r="E146" s="3">
        <v>30</v>
      </c>
      <c r="F146" s="3">
        <v>32</v>
      </c>
      <c r="G146" s="3">
        <v>30</v>
      </c>
      <c r="H146" s="3">
        <v>32</v>
      </c>
      <c r="I146" s="11">
        <f t="shared" si="2"/>
        <v>30.666666666666668</v>
      </c>
    </row>
    <row r="147" spans="1:9" x14ac:dyDescent="0.25">
      <c r="A147" s="4"/>
      <c r="B147" s="2">
        <v>41</v>
      </c>
      <c r="C147" s="3"/>
      <c r="D147" s="3">
        <v>34</v>
      </c>
      <c r="E147" s="3">
        <v>36</v>
      </c>
      <c r="F147" s="3">
        <v>34</v>
      </c>
      <c r="G147" s="3">
        <v>36</v>
      </c>
      <c r="H147" s="3">
        <v>35</v>
      </c>
      <c r="I147" s="11">
        <f t="shared" si="2"/>
        <v>35</v>
      </c>
    </row>
    <row r="148" spans="1:9" x14ac:dyDescent="0.25">
      <c r="A148" s="4"/>
      <c r="B148" s="2">
        <v>42</v>
      </c>
      <c r="C148" s="3">
        <v>36</v>
      </c>
      <c r="D148" s="3">
        <v>34</v>
      </c>
      <c r="E148" s="3">
        <v>36</v>
      </c>
      <c r="F148" s="3">
        <v>34</v>
      </c>
      <c r="G148" s="3">
        <v>34</v>
      </c>
      <c r="H148" s="3">
        <v>34</v>
      </c>
      <c r="I148" s="11">
        <f t="shared" si="2"/>
        <v>34.666666666666664</v>
      </c>
    </row>
    <row r="149" spans="1:9" x14ac:dyDescent="0.25">
      <c r="A149" s="4"/>
      <c r="B149" s="2">
        <v>43</v>
      </c>
      <c r="C149" s="3">
        <v>34</v>
      </c>
      <c r="D149" s="3">
        <v>34</v>
      </c>
      <c r="E149" s="3">
        <v>34</v>
      </c>
      <c r="F149" s="3">
        <v>34</v>
      </c>
      <c r="G149" s="3">
        <v>30</v>
      </c>
      <c r="H149" s="3">
        <v>29</v>
      </c>
      <c r="I149" s="11">
        <f t="shared" si="2"/>
        <v>32.5</v>
      </c>
    </row>
    <row r="150" spans="1:9" x14ac:dyDescent="0.25">
      <c r="A150" s="4"/>
      <c r="B150" s="2">
        <v>44</v>
      </c>
      <c r="C150" s="3">
        <v>34</v>
      </c>
      <c r="D150" s="3">
        <v>34</v>
      </c>
      <c r="E150" s="3">
        <v>32</v>
      </c>
      <c r="F150" s="3">
        <v>27</v>
      </c>
      <c r="G150" s="3"/>
      <c r="H150" s="3">
        <v>31</v>
      </c>
      <c r="I150" s="11">
        <f t="shared" si="2"/>
        <v>31.6</v>
      </c>
    </row>
    <row r="151" spans="1:9" x14ac:dyDescent="0.25">
      <c r="A151" s="4"/>
      <c r="B151" s="2">
        <v>45</v>
      </c>
      <c r="C151" s="3">
        <v>30</v>
      </c>
      <c r="D151" s="3">
        <v>29</v>
      </c>
      <c r="E151" s="3"/>
      <c r="F151" s="3">
        <v>35</v>
      </c>
      <c r="G151" s="3">
        <v>33</v>
      </c>
      <c r="H151" s="3">
        <v>35</v>
      </c>
      <c r="I151" s="11">
        <f t="shared" si="2"/>
        <v>32.4</v>
      </c>
    </row>
    <row r="152" spans="1:9" x14ac:dyDescent="0.25">
      <c r="A152" s="4"/>
      <c r="B152" s="2">
        <v>46</v>
      </c>
      <c r="C152" s="3">
        <v>31</v>
      </c>
      <c r="D152" s="3">
        <v>34</v>
      </c>
      <c r="E152" s="3">
        <v>34</v>
      </c>
      <c r="F152" s="3">
        <v>33</v>
      </c>
      <c r="G152" s="3">
        <v>32</v>
      </c>
      <c r="H152" s="3">
        <v>30</v>
      </c>
      <c r="I152" s="11">
        <f t="shared" si="2"/>
        <v>32.333333333333336</v>
      </c>
    </row>
    <row r="153" spans="1:9" x14ac:dyDescent="0.25">
      <c r="A153" s="4"/>
      <c r="B153" s="2">
        <v>47</v>
      </c>
      <c r="C153" s="3">
        <v>33</v>
      </c>
      <c r="D153" s="3">
        <v>32</v>
      </c>
      <c r="E153" s="3">
        <v>33</v>
      </c>
      <c r="F153" s="3">
        <v>32</v>
      </c>
      <c r="G153" s="3">
        <v>29</v>
      </c>
      <c r="H153" s="3">
        <v>33</v>
      </c>
      <c r="I153" s="11">
        <f t="shared" si="2"/>
        <v>32</v>
      </c>
    </row>
    <row r="154" spans="1:9" x14ac:dyDescent="0.25">
      <c r="A154" s="4"/>
      <c r="B154" s="2">
        <v>48</v>
      </c>
      <c r="C154" s="3">
        <v>30</v>
      </c>
      <c r="D154" s="3">
        <v>28</v>
      </c>
      <c r="E154" s="3">
        <v>27</v>
      </c>
      <c r="F154" s="3">
        <v>25</v>
      </c>
      <c r="G154" s="3">
        <v>24</v>
      </c>
      <c r="H154" s="3">
        <v>26</v>
      </c>
      <c r="I154" s="11">
        <f t="shared" si="2"/>
        <v>26.666666666666668</v>
      </c>
    </row>
    <row r="155" spans="1:9" x14ac:dyDescent="0.25">
      <c r="A155" s="4"/>
      <c r="B155" s="2">
        <v>49</v>
      </c>
      <c r="C155" s="3">
        <v>34</v>
      </c>
      <c r="D155" s="3">
        <v>36</v>
      </c>
      <c r="E155" s="3">
        <v>35</v>
      </c>
      <c r="F155" s="3">
        <v>30</v>
      </c>
      <c r="G155" s="3">
        <v>35</v>
      </c>
      <c r="H155" s="3">
        <v>32</v>
      </c>
      <c r="I155" s="11">
        <f t="shared" si="2"/>
        <v>33.666666666666664</v>
      </c>
    </row>
    <row r="156" spans="1:9" x14ac:dyDescent="0.25">
      <c r="A156" s="4"/>
      <c r="B156" s="2">
        <v>50</v>
      </c>
      <c r="C156" s="3"/>
      <c r="D156" s="3">
        <v>36</v>
      </c>
      <c r="E156" s="3">
        <v>32</v>
      </c>
      <c r="F156" s="3"/>
      <c r="G156" s="3">
        <v>36</v>
      </c>
      <c r="H156" s="3">
        <v>35</v>
      </c>
      <c r="I156" s="11">
        <f t="shared" si="2"/>
        <v>34.75</v>
      </c>
    </row>
    <row r="157" spans="1:9" x14ac:dyDescent="0.25">
      <c r="A157" s="4"/>
      <c r="B157" s="2">
        <v>51</v>
      </c>
      <c r="C157" s="3">
        <v>37</v>
      </c>
      <c r="D157" s="3"/>
      <c r="E157" s="3"/>
      <c r="F157" s="3">
        <v>31</v>
      </c>
      <c r="G157" s="3">
        <v>30</v>
      </c>
      <c r="H157" s="3">
        <v>30</v>
      </c>
      <c r="I157" s="11">
        <f t="shared" si="2"/>
        <v>32</v>
      </c>
    </row>
    <row r="158" spans="1:9" x14ac:dyDescent="0.25">
      <c r="A158" s="19"/>
      <c r="B158" s="25">
        <v>52</v>
      </c>
      <c r="C158" s="21">
        <v>34</v>
      </c>
      <c r="D158" s="21">
        <v>34</v>
      </c>
      <c r="E158" s="21">
        <v>35</v>
      </c>
      <c r="F158" s="21">
        <v>30</v>
      </c>
      <c r="G158" s="21">
        <v>32</v>
      </c>
      <c r="H158" s="21"/>
      <c r="I158" s="11">
        <f t="shared" si="2"/>
        <v>33</v>
      </c>
    </row>
    <row r="159" spans="1:9" x14ac:dyDescent="0.25">
      <c r="A159" s="4">
        <v>2026</v>
      </c>
      <c r="B159" s="2">
        <v>1</v>
      </c>
      <c r="C159" s="3">
        <v>33</v>
      </c>
      <c r="D159" s="3">
        <v>32</v>
      </c>
      <c r="E159" s="3">
        <v>32</v>
      </c>
      <c r="F159" s="3">
        <v>30</v>
      </c>
      <c r="G159" s="3">
        <v>28</v>
      </c>
      <c r="H159" s="3">
        <v>28</v>
      </c>
      <c r="I159" s="11">
        <f t="shared" si="2"/>
        <v>30.5</v>
      </c>
    </row>
    <row r="160" spans="1:9" x14ac:dyDescent="0.25">
      <c r="A160" s="4"/>
      <c r="B160" s="2">
        <v>2</v>
      </c>
      <c r="C160" s="3">
        <v>30</v>
      </c>
      <c r="D160" s="3">
        <v>34</v>
      </c>
      <c r="E160" s="3">
        <v>32</v>
      </c>
      <c r="F160" s="3" t="s">
        <v>26</v>
      </c>
      <c r="G160" s="3">
        <v>33</v>
      </c>
      <c r="H160" s="3">
        <v>33</v>
      </c>
      <c r="I160" s="11">
        <f>AVERAGE(C160:H160)</f>
        <v>32.4</v>
      </c>
    </row>
    <row r="161" spans="1:9" x14ac:dyDescent="0.25">
      <c r="A161" s="4"/>
      <c r="B161" s="2">
        <v>3</v>
      </c>
      <c r="C161" s="3">
        <v>34</v>
      </c>
      <c r="D161" s="3">
        <v>33</v>
      </c>
      <c r="E161" s="3">
        <v>34</v>
      </c>
      <c r="F161" s="3">
        <v>32</v>
      </c>
      <c r="G161" s="3">
        <v>33</v>
      </c>
      <c r="H161" s="3">
        <v>30</v>
      </c>
      <c r="I161" s="11">
        <f t="shared" ref="I161:I197" si="3">AVERAGE(C161:H161)</f>
        <v>32.666666666666664</v>
      </c>
    </row>
    <row r="162" spans="1:9" x14ac:dyDescent="0.25">
      <c r="A162" s="4"/>
      <c r="B162" s="2">
        <v>4</v>
      </c>
      <c r="C162" s="3">
        <v>33</v>
      </c>
      <c r="D162" s="3">
        <v>32</v>
      </c>
      <c r="E162" s="3">
        <v>34</v>
      </c>
      <c r="F162" s="3">
        <v>32</v>
      </c>
      <c r="G162" s="3">
        <v>30</v>
      </c>
      <c r="H162" s="3">
        <v>34</v>
      </c>
      <c r="I162" s="11">
        <f t="shared" si="3"/>
        <v>32.5</v>
      </c>
    </row>
    <row r="163" spans="1:9" x14ac:dyDescent="0.25">
      <c r="A163" s="4"/>
      <c r="B163" s="2">
        <v>5</v>
      </c>
      <c r="C163" s="3">
        <v>34</v>
      </c>
      <c r="D163" s="3">
        <v>32</v>
      </c>
      <c r="E163" s="3" t="s">
        <v>26</v>
      </c>
      <c r="F163" s="3">
        <v>32</v>
      </c>
      <c r="G163" s="3">
        <v>33</v>
      </c>
      <c r="H163" s="3">
        <v>30</v>
      </c>
      <c r="I163" s="11">
        <f t="shared" si="3"/>
        <v>32.200000000000003</v>
      </c>
    </row>
    <row r="164" spans="1:9" x14ac:dyDescent="0.25">
      <c r="A164" s="4"/>
      <c r="B164" s="2">
        <v>6</v>
      </c>
      <c r="C164" s="3">
        <v>34</v>
      </c>
      <c r="D164" s="3">
        <v>36</v>
      </c>
      <c r="E164" s="3">
        <v>34</v>
      </c>
      <c r="F164" s="3">
        <v>30</v>
      </c>
      <c r="G164" s="3">
        <v>31</v>
      </c>
      <c r="H164" s="3">
        <v>30</v>
      </c>
      <c r="I164" s="11">
        <f t="shared" si="3"/>
        <v>32.5</v>
      </c>
    </row>
    <row r="165" spans="1:9" x14ac:dyDescent="0.25">
      <c r="A165" s="4"/>
      <c r="B165" s="2">
        <v>7</v>
      </c>
      <c r="C165" s="3">
        <v>34</v>
      </c>
      <c r="D165" s="3">
        <v>30</v>
      </c>
      <c r="E165" s="3">
        <v>32</v>
      </c>
      <c r="F165" s="3">
        <v>32</v>
      </c>
      <c r="G165" s="3">
        <v>30</v>
      </c>
      <c r="H165" s="3">
        <v>30</v>
      </c>
      <c r="I165" s="11">
        <f t="shared" si="3"/>
        <v>31.333333333333332</v>
      </c>
    </row>
    <row r="166" spans="1:9" x14ac:dyDescent="0.25">
      <c r="A166" s="4"/>
      <c r="B166" s="2">
        <v>8</v>
      </c>
      <c r="C166" s="3">
        <v>32</v>
      </c>
      <c r="D166" s="3">
        <v>30</v>
      </c>
      <c r="E166" s="3">
        <v>35</v>
      </c>
      <c r="F166" s="3">
        <v>32</v>
      </c>
      <c r="G166" s="3">
        <v>36</v>
      </c>
      <c r="H166" s="3">
        <v>35</v>
      </c>
      <c r="I166" s="11">
        <f t="shared" si="3"/>
        <v>33.333333333333336</v>
      </c>
    </row>
    <row r="167" spans="1:9" x14ac:dyDescent="0.25">
      <c r="A167" s="4"/>
      <c r="B167" s="2">
        <v>9</v>
      </c>
      <c r="C167" s="3" t="s">
        <v>27</v>
      </c>
      <c r="D167" s="3">
        <v>35</v>
      </c>
      <c r="E167" s="3">
        <v>36</v>
      </c>
      <c r="F167" s="3">
        <v>34</v>
      </c>
      <c r="G167" s="3">
        <v>35</v>
      </c>
      <c r="H167" s="3">
        <v>34</v>
      </c>
      <c r="I167" s="11">
        <f t="shared" si="3"/>
        <v>34.799999999999997</v>
      </c>
    </row>
    <row r="168" spans="1:9" x14ac:dyDescent="0.25">
      <c r="A168" s="4"/>
      <c r="B168" s="2">
        <v>10</v>
      </c>
      <c r="C168" s="3">
        <v>32</v>
      </c>
      <c r="D168" s="3">
        <v>36</v>
      </c>
      <c r="E168" s="3">
        <v>36</v>
      </c>
      <c r="F168" s="3">
        <v>37</v>
      </c>
      <c r="G168" s="3">
        <v>36</v>
      </c>
      <c r="H168" s="3">
        <v>36</v>
      </c>
      <c r="I168" s="11">
        <f t="shared" si="3"/>
        <v>35.5</v>
      </c>
    </row>
    <row r="169" spans="1:9" x14ac:dyDescent="0.25">
      <c r="A169" s="4"/>
      <c r="B169" s="2">
        <v>11</v>
      </c>
      <c r="C169" s="3">
        <v>37</v>
      </c>
      <c r="D169" s="3">
        <v>31</v>
      </c>
      <c r="E169" s="3">
        <v>37</v>
      </c>
      <c r="F169" s="3">
        <v>36</v>
      </c>
      <c r="G169" s="3">
        <v>38</v>
      </c>
      <c r="H169" s="3">
        <v>36</v>
      </c>
      <c r="I169" s="11">
        <f t="shared" si="3"/>
        <v>35.833333333333336</v>
      </c>
    </row>
    <row r="170" spans="1:9" x14ac:dyDescent="0.25">
      <c r="A170" s="4"/>
      <c r="B170" s="2">
        <v>12</v>
      </c>
      <c r="C170" s="3">
        <v>39</v>
      </c>
      <c r="D170" s="3">
        <v>38</v>
      </c>
      <c r="E170" s="3">
        <v>37</v>
      </c>
      <c r="F170" s="3">
        <v>36</v>
      </c>
      <c r="G170" s="3">
        <v>37</v>
      </c>
      <c r="H170" s="3">
        <v>39</v>
      </c>
      <c r="I170" s="11">
        <f t="shared" si="3"/>
        <v>37.666666666666664</v>
      </c>
    </row>
    <row r="171" spans="1:9" x14ac:dyDescent="0.25">
      <c r="A171" s="4"/>
      <c r="B171" s="2">
        <v>13</v>
      </c>
      <c r="C171" s="3">
        <v>30</v>
      </c>
      <c r="D171" s="3">
        <v>36</v>
      </c>
      <c r="E171" s="3" t="s">
        <v>27</v>
      </c>
      <c r="F171" s="3">
        <v>37</v>
      </c>
      <c r="G171" s="3">
        <v>37</v>
      </c>
      <c r="H171" s="3">
        <v>28</v>
      </c>
      <c r="I171" s="11">
        <f t="shared" si="3"/>
        <v>33.6</v>
      </c>
    </row>
    <row r="172" spans="1:9" x14ac:dyDescent="0.25">
      <c r="A172" s="4"/>
      <c r="B172" s="2">
        <v>14</v>
      </c>
      <c r="C172" s="3">
        <v>32</v>
      </c>
      <c r="D172" s="3">
        <v>31</v>
      </c>
      <c r="E172" s="3">
        <v>36</v>
      </c>
      <c r="F172" s="3">
        <v>37</v>
      </c>
      <c r="G172" s="3">
        <v>36</v>
      </c>
      <c r="H172" s="3">
        <v>37</v>
      </c>
      <c r="I172" s="11">
        <f t="shared" si="3"/>
        <v>34.833333333333336</v>
      </c>
    </row>
    <row r="173" spans="1:9" x14ac:dyDescent="0.25">
      <c r="A173" s="4"/>
      <c r="B173" s="2">
        <v>15</v>
      </c>
      <c r="C173" s="3"/>
      <c r="D173" s="3"/>
      <c r="E173" s="3"/>
      <c r="F173" s="3">
        <v>30</v>
      </c>
      <c r="G173" s="3">
        <v>37</v>
      </c>
      <c r="H173" s="3"/>
      <c r="I173" s="11">
        <f t="shared" si="3"/>
        <v>33.5</v>
      </c>
    </row>
    <row r="174" spans="1:9" x14ac:dyDescent="0.25">
      <c r="A174" s="4"/>
      <c r="B174" s="2">
        <v>16</v>
      </c>
      <c r="C174" s="3">
        <v>37</v>
      </c>
      <c r="D174" s="3">
        <v>36</v>
      </c>
      <c r="E174" s="3">
        <v>36</v>
      </c>
      <c r="F174" s="3">
        <v>37</v>
      </c>
      <c r="G174" s="3">
        <v>37</v>
      </c>
      <c r="H174" s="3">
        <v>36</v>
      </c>
      <c r="I174" s="11">
        <f t="shared" si="3"/>
        <v>36.5</v>
      </c>
    </row>
    <row r="175" spans="1:9" x14ac:dyDescent="0.25">
      <c r="A175" s="4"/>
      <c r="B175" s="2">
        <v>17</v>
      </c>
      <c r="C175" s="3">
        <v>37</v>
      </c>
      <c r="D175" s="3">
        <v>36</v>
      </c>
      <c r="E175" s="3">
        <v>37</v>
      </c>
      <c r="F175" s="3"/>
      <c r="G175" s="3" t="s">
        <v>27</v>
      </c>
      <c r="H175" s="3">
        <v>37</v>
      </c>
      <c r="I175" s="11">
        <f t="shared" si="3"/>
        <v>36.75</v>
      </c>
    </row>
    <row r="176" spans="1:9" x14ac:dyDescent="0.25">
      <c r="A176" s="4"/>
      <c r="B176" s="2">
        <v>18</v>
      </c>
      <c r="C176" s="3">
        <v>34</v>
      </c>
      <c r="D176" s="3">
        <v>37</v>
      </c>
      <c r="E176" s="3">
        <v>36</v>
      </c>
      <c r="F176" s="3">
        <v>36</v>
      </c>
      <c r="G176" s="3">
        <v>37</v>
      </c>
      <c r="H176" s="3">
        <v>37</v>
      </c>
      <c r="I176" s="11">
        <f t="shared" si="3"/>
        <v>36.166666666666664</v>
      </c>
    </row>
    <row r="177" spans="1:9" x14ac:dyDescent="0.25">
      <c r="A177" s="4"/>
      <c r="B177" s="2">
        <v>19</v>
      </c>
      <c r="C177" s="3">
        <v>28</v>
      </c>
      <c r="D177" s="3">
        <v>34</v>
      </c>
      <c r="E177" s="3">
        <v>26</v>
      </c>
      <c r="F177" s="3">
        <v>29</v>
      </c>
      <c r="G177" s="3">
        <v>32</v>
      </c>
      <c r="H177" s="3">
        <v>34</v>
      </c>
      <c r="I177" s="11">
        <f t="shared" si="3"/>
        <v>30.5</v>
      </c>
    </row>
    <row r="178" spans="1:9" x14ac:dyDescent="0.25">
      <c r="A178" s="4"/>
      <c r="B178" s="2">
        <v>20</v>
      </c>
      <c r="C178" s="3">
        <v>35</v>
      </c>
      <c r="D178" s="3">
        <v>34</v>
      </c>
      <c r="E178" s="3">
        <v>34</v>
      </c>
      <c r="F178" s="3">
        <v>35</v>
      </c>
      <c r="G178" s="3">
        <v>35</v>
      </c>
      <c r="H178" s="3">
        <v>34</v>
      </c>
      <c r="I178" s="11">
        <f t="shared" si="3"/>
        <v>34.5</v>
      </c>
    </row>
    <row r="179" spans="1:9" x14ac:dyDescent="0.25">
      <c r="A179" s="4"/>
      <c r="B179" s="2">
        <v>21</v>
      </c>
      <c r="C179" s="3"/>
      <c r="D179" s="3">
        <v>35</v>
      </c>
      <c r="E179" s="3">
        <v>36</v>
      </c>
      <c r="F179" s="3">
        <v>34</v>
      </c>
      <c r="G179" s="3">
        <v>36</v>
      </c>
      <c r="H179" s="3" t="s">
        <v>27</v>
      </c>
      <c r="I179" s="11">
        <f t="shared" si="3"/>
        <v>35.25</v>
      </c>
    </row>
    <row r="180" spans="1:9" x14ac:dyDescent="0.25">
      <c r="A180" s="4"/>
      <c r="B180" s="2">
        <v>22</v>
      </c>
      <c r="C180" s="3" t="s">
        <v>26</v>
      </c>
      <c r="D180" s="3">
        <v>35</v>
      </c>
      <c r="E180" s="3"/>
      <c r="F180" s="3">
        <v>33</v>
      </c>
      <c r="G180" s="3">
        <v>28</v>
      </c>
      <c r="H180" s="3">
        <v>30</v>
      </c>
      <c r="I180" s="11">
        <f t="shared" si="3"/>
        <v>31.5</v>
      </c>
    </row>
    <row r="181" spans="1:9" x14ac:dyDescent="0.25">
      <c r="A181" s="4"/>
      <c r="B181" s="2">
        <v>23</v>
      </c>
      <c r="C181" s="3">
        <v>34</v>
      </c>
      <c r="D181" s="3">
        <v>34</v>
      </c>
      <c r="E181" s="3"/>
      <c r="F181" s="3"/>
      <c r="G181" s="3">
        <v>32</v>
      </c>
      <c r="H181" s="3">
        <v>32</v>
      </c>
      <c r="I181" s="11">
        <f t="shared" si="3"/>
        <v>33</v>
      </c>
    </row>
    <row r="182" spans="1:9" x14ac:dyDescent="0.25">
      <c r="A182" s="4"/>
      <c r="B182" s="2">
        <v>24</v>
      </c>
      <c r="C182" s="3">
        <v>32</v>
      </c>
      <c r="D182" s="3">
        <v>34</v>
      </c>
      <c r="E182" s="3">
        <v>36</v>
      </c>
      <c r="F182" s="3">
        <v>31</v>
      </c>
      <c r="G182" s="3">
        <v>34</v>
      </c>
      <c r="H182" s="3">
        <v>32</v>
      </c>
      <c r="I182" s="11">
        <f t="shared" si="3"/>
        <v>33.166666666666664</v>
      </c>
    </row>
    <row r="183" spans="1:9" x14ac:dyDescent="0.25">
      <c r="A183" s="4"/>
      <c r="B183" s="2">
        <v>25</v>
      </c>
      <c r="C183" s="3">
        <v>30</v>
      </c>
      <c r="D183" s="3">
        <v>33</v>
      </c>
      <c r="E183" s="3">
        <v>32</v>
      </c>
      <c r="F183" s="3">
        <v>34</v>
      </c>
      <c r="G183" s="3">
        <v>36</v>
      </c>
      <c r="H183" s="3">
        <v>34</v>
      </c>
      <c r="I183" s="11">
        <f t="shared" si="3"/>
        <v>33.166666666666664</v>
      </c>
    </row>
    <row r="184" spans="1:9" x14ac:dyDescent="0.25">
      <c r="A184" s="4"/>
      <c r="B184" s="2">
        <v>26</v>
      </c>
      <c r="C184" s="3"/>
      <c r="D184" s="3">
        <v>36</v>
      </c>
      <c r="E184" s="3">
        <v>36</v>
      </c>
      <c r="F184" s="3">
        <v>34</v>
      </c>
      <c r="G184" s="3">
        <v>36</v>
      </c>
      <c r="H184" s="3">
        <v>32</v>
      </c>
      <c r="I184" s="11">
        <f t="shared" si="3"/>
        <v>34.799999999999997</v>
      </c>
    </row>
    <row r="185" spans="1:9" x14ac:dyDescent="0.25">
      <c r="A185" s="4"/>
      <c r="B185" s="2">
        <v>27</v>
      </c>
      <c r="C185" s="3">
        <v>37</v>
      </c>
      <c r="D185" s="3">
        <v>34</v>
      </c>
      <c r="E185" s="3">
        <v>36</v>
      </c>
      <c r="F185" s="3">
        <v>34</v>
      </c>
      <c r="G185" s="3">
        <v>30</v>
      </c>
      <c r="H185" s="3">
        <v>35</v>
      </c>
      <c r="I185" s="11">
        <f t="shared" si="3"/>
        <v>34.333333333333336</v>
      </c>
    </row>
    <row r="186" spans="1:9" x14ac:dyDescent="0.25">
      <c r="A186" s="4"/>
      <c r="B186" s="2">
        <v>28</v>
      </c>
      <c r="C186" s="3">
        <v>34</v>
      </c>
      <c r="D186" s="3">
        <v>34</v>
      </c>
      <c r="E186" s="3">
        <v>32</v>
      </c>
      <c r="F186" s="3">
        <v>33</v>
      </c>
      <c r="G186" s="3">
        <v>36</v>
      </c>
      <c r="H186" s="3">
        <v>34</v>
      </c>
      <c r="I186" s="11">
        <f t="shared" si="3"/>
        <v>33.833333333333336</v>
      </c>
    </row>
    <row r="187" spans="1:9" x14ac:dyDescent="0.25">
      <c r="A187" s="4"/>
      <c r="B187" s="2">
        <v>29</v>
      </c>
      <c r="C187" s="3">
        <v>32</v>
      </c>
      <c r="D187" s="3">
        <v>34</v>
      </c>
      <c r="E187" s="3">
        <v>36</v>
      </c>
      <c r="F187" s="3">
        <v>32</v>
      </c>
      <c r="G187" s="3">
        <v>36</v>
      </c>
      <c r="H187" s="3">
        <v>34</v>
      </c>
      <c r="I187" s="11">
        <f t="shared" si="3"/>
        <v>34</v>
      </c>
    </row>
    <row r="188" spans="1:9" x14ac:dyDescent="0.25">
      <c r="A188" s="4"/>
      <c r="B188" s="2">
        <v>30</v>
      </c>
      <c r="C188" s="3">
        <v>35</v>
      </c>
      <c r="D188" s="3">
        <v>35</v>
      </c>
      <c r="E188" s="3" t="s">
        <v>27</v>
      </c>
      <c r="F188" s="3">
        <v>32</v>
      </c>
      <c r="G188" s="3">
        <v>36</v>
      </c>
      <c r="H188" s="3">
        <v>34</v>
      </c>
      <c r="I188" s="11">
        <f t="shared" si="3"/>
        <v>34.4</v>
      </c>
    </row>
    <row r="189" spans="1:9" x14ac:dyDescent="0.25">
      <c r="A189" s="4"/>
      <c r="B189" s="2">
        <v>31</v>
      </c>
      <c r="C189" s="3">
        <v>32</v>
      </c>
      <c r="D189" s="3">
        <v>30</v>
      </c>
      <c r="E189" s="3">
        <v>31</v>
      </c>
      <c r="F189" s="3">
        <v>33</v>
      </c>
      <c r="G189" s="3">
        <v>32</v>
      </c>
      <c r="H189" s="3">
        <v>34</v>
      </c>
      <c r="I189" s="11">
        <f t="shared" si="3"/>
        <v>32</v>
      </c>
    </row>
    <row r="190" spans="1:9" x14ac:dyDescent="0.25">
      <c r="A190" s="4"/>
      <c r="B190" s="2">
        <v>32</v>
      </c>
      <c r="C190" s="3">
        <v>31</v>
      </c>
      <c r="D190" s="3"/>
      <c r="E190" s="3">
        <v>34</v>
      </c>
      <c r="F190" s="3">
        <v>34</v>
      </c>
      <c r="G190" s="3">
        <v>35</v>
      </c>
      <c r="H190" s="3"/>
      <c r="I190" s="11">
        <f t="shared" si="3"/>
        <v>33.5</v>
      </c>
    </row>
    <row r="191" spans="1:9" x14ac:dyDescent="0.25">
      <c r="A191" s="4"/>
      <c r="B191" s="2">
        <v>33</v>
      </c>
      <c r="C191" s="3">
        <v>34</v>
      </c>
      <c r="D191" s="3">
        <v>32</v>
      </c>
      <c r="E191" s="3">
        <v>32</v>
      </c>
      <c r="F191" s="3">
        <v>34</v>
      </c>
      <c r="G191" s="3">
        <v>34</v>
      </c>
      <c r="H191" s="3">
        <v>32</v>
      </c>
      <c r="I191" s="11">
        <f t="shared" si="3"/>
        <v>33</v>
      </c>
    </row>
    <row r="192" spans="1:9" x14ac:dyDescent="0.25">
      <c r="A192" s="4"/>
      <c r="B192" s="2">
        <v>34</v>
      </c>
      <c r="C192" s="3">
        <v>35</v>
      </c>
      <c r="D192" s="3">
        <v>34</v>
      </c>
      <c r="E192" s="3" t="s">
        <v>26</v>
      </c>
      <c r="F192" s="3" t="s">
        <v>27</v>
      </c>
      <c r="G192" s="3">
        <v>35</v>
      </c>
      <c r="H192" s="3">
        <v>34</v>
      </c>
      <c r="I192" s="11">
        <f t="shared" si="3"/>
        <v>34.5</v>
      </c>
    </row>
    <row r="193" spans="1:9" x14ac:dyDescent="0.25">
      <c r="A193" s="4"/>
      <c r="B193" s="2">
        <v>35</v>
      </c>
      <c r="C193" s="3">
        <v>36</v>
      </c>
      <c r="D193" s="3">
        <v>36</v>
      </c>
      <c r="E193" s="3">
        <v>36</v>
      </c>
      <c r="F193" s="3">
        <v>35</v>
      </c>
      <c r="G193" s="3">
        <v>36</v>
      </c>
      <c r="H193" s="3">
        <v>36</v>
      </c>
      <c r="I193" s="11">
        <f t="shared" si="3"/>
        <v>35.833333333333336</v>
      </c>
    </row>
    <row r="194" spans="1:9" x14ac:dyDescent="0.25">
      <c r="A194" s="4"/>
      <c r="B194" s="2">
        <v>36</v>
      </c>
      <c r="C194" s="3">
        <v>37</v>
      </c>
      <c r="D194" s="3">
        <v>36</v>
      </c>
      <c r="E194" s="3">
        <v>37</v>
      </c>
      <c r="F194" s="3">
        <v>36</v>
      </c>
      <c r="G194" s="3">
        <v>36</v>
      </c>
      <c r="H194" s="3">
        <v>34</v>
      </c>
      <c r="I194" s="11">
        <f t="shared" si="3"/>
        <v>36</v>
      </c>
    </row>
    <row r="195" spans="1:9" x14ac:dyDescent="0.25">
      <c r="A195" s="4"/>
      <c r="B195" s="2">
        <v>37</v>
      </c>
      <c r="C195" s="3">
        <v>36</v>
      </c>
      <c r="D195" s="3">
        <v>34</v>
      </c>
      <c r="E195" s="3">
        <v>33</v>
      </c>
      <c r="F195" s="3">
        <v>32</v>
      </c>
      <c r="G195" s="3">
        <v>34</v>
      </c>
      <c r="H195" s="3">
        <v>36</v>
      </c>
      <c r="I195" s="11">
        <f t="shared" si="3"/>
        <v>34.166666666666664</v>
      </c>
    </row>
    <row r="196" spans="1:9" x14ac:dyDescent="0.25">
      <c r="A196" s="4"/>
      <c r="B196" s="2">
        <v>38</v>
      </c>
      <c r="C196" s="3">
        <v>32</v>
      </c>
      <c r="D196" s="3">
        <v>32</v>
      </c>
      <c r="E196" s="3">
        <v>28</v>
      </c>
      <c r="F196" s="3">
        <v>30</v>
      </c>
      <c r="G196" s="3">
        <v>34</v>
      </c>
      <c r="H196" s="3" t="s">
        <v>27</v>
      </c>
      <c r="I196" s="11">
        <f t="shared" si="3"/>
        <v>31.2</v>
      </c>
    </row>
    <row r="197" spans="1:9" x14ac:dyDescent="0.25">
      <c r="A197" s="4"/>
      <c r="B197" s="2">
        <v>39</v>
      </c>
      <c r="C197" s="3">
        <v>35</v>
      </c>
      <c r="D197" s="3">
        <v>34</v>
      </c>
      <c r="E197" s="3">
        <v>32</v>
      </c>
      <c r="F197" s="3">
        <v>36</v>
      </c>
      <c r="G197" s="3">
        <v>30</v>
      </c>
      <c r="H197" s="3">
        <v>32</v>
      </c>
      <c r="I197" s="11">
        <f t="shared" si="3"/>
        <v>33.166666666666664</v>
      </c>
    </row>
    <row r="198" spans="1:9" x14ac:dyDescent="0.25">
      <c r="A198" s="4"/>
      <c r="B198" s="2">
        <v>40</v>
      </c>
      <c r="C198" s="3"/>
      <c r="D198" s="3"/>
      <c r="E198" s="3"/>
      <c r="F198" s="3"/>
      <c r="G198" s="3"/>
      <c r="H198" s="3"/>
      <c r="I198" s="11"/>
    </row>
    <row r="199" spans="1:9" x14ac:dyDescent="0.25">
      <c r="A199" s="4"/>
      <c r="B199" s="2">
        <v>41</v>
      </c>
      <c r="C199" s="3"/>
      <c r="D199" s="3"/>
      <c r="E199" s="3"/>
      <c r="F199" s="3"/>
      <c r="G199" s="3"/>
      <c r="H199" s="3"/>
      <c r="I199" s="11"/>
    </row>
    <row r="200" spans="1:9" x14ac:dyDescent="0.25">
      <c r="A200" s="4"/>
      <c r="B200" s="2">
        <v>42</v>
      </c>
      <c r="C200" s="3"/>
      <c r="D200" s="3"/>
      <c r="E200" s="3"/>
      <c r="F200" s="3"/>
      <c r="G200" s="3"/>
      <c r="H200" s="3"/>
      <c r="I200" s="11"/>
    </row>
    <row r="201" spans="1:9" x14ac:dyDescent="0.25">
      <c r="A201" s="4"/>
      <c r="B201" s="2">
        <v>43</v>
      </c>
      <c r="C201" s="3"/>
      <c r="D201" s="3"/>
      <c r="E201" s="3"/>
      <c r="F201" s="3"/>
      <c r="G201" s="3"/>
      <c r="H201" s="3"/>
      <c r="I201" s="11"/>
    </row>
    <row r="202" spans="1:9" x14ac:dyDescent="0.25">
      <c r="A202" s="4"/>
      <c r="B202" s="2">
        <v>44</v>
      </c>
      <c r="C202" s="3"/>
      <c r="D202" s="3"/>
      <c r="E202" s="3"/>
      <c r="F202" s="3"/>
      <c r="G202" s="3"/>
      <c r="H202" s="3"/>
      <c r="I202" s="3"/>
    </row>
    <row r="203" spans="1:9" x14ac:dyDescent="0.25">
      <c r="A203" s="4"/>
      <c r="B203" s="2">
        <v>45</v>
      </c>
      <c r="C203" s="3"/>
      <c r="D203" s="3"/>
      <c r="E203" s="3"/>
      <c r="F203" s="3"/>
      <c r="G203" s="3"/>
      <c r="H203" s="3"/>
      <c r="I203" s="3"/>
    </row>
    <row r="204" spans="1:9" x14ac:dyDescent="0.25">
      <c r="A204" s="4"/>
      <c r="B204" s="2">
        <v>46</v>
      </c>
      <c r="C204" s="3"/>
      <c r="D204" s="3"/>
      <c r="E204" s="3"/>
      <c r="F204" s="3"/>
      <c r="G204" s="3"/>
      <c r="H204" s="3"/>
      <c r="I204" s="3"/>
    </row>
    <row r="205" spans="1:9" x14ac:dyDescent="0.25">
      <c r="A205" s="4"/>
      <c r="B205" s="2">
        <v>47</v>
      </c>
      <c r="C205" s="3"/>
      <c r="D205" s="3"/>
      <c r="E205" s="3"/>
      <c r="F205" s="3"/>
      <c r="G205" s="3"/>
      <c r="H205" s="3"/>
      <c r="I205" s="3"/>
    </row>
    <row r="206" spans="1:9" x14ac:dyDescent="0.25">
      <c r="A206" s="4"/>
      <c r="B206" s="2">
        <v>48</v>
      </c>
      <c r="C206" s="3"/>
      <c r="D206" s="3"/>
      <c r="E206" s="3"/>
      <c r="F206" s="3"/>
      <c r="G206" s="3"/>
      <c r="H206" s="3"/>
      <c r="I206" s="3"/>
    </row>
    <row r="207" spans="1:9" x14ac:dyDescent="0.25">
      <c r="A207" s="4"/>
      <c r="B207" s="2">
        <v>49</v>
      </c>
      <c r="C207" s="3"/>
      <c r="D207" s="3"/>
      <c r="E207" s="3"/>
      <c r="F207" s="3"/>
      <c r="G207" s="3"/>
      <c r="H207" s="3"/>
      <c r="I207" s="3"/>
    </row>
    <row r="208" spans="1:9" x14ac:dyDescent="0.25">
      <c r="A208" s="4"/>
      <c r="B208" s="2">
        <v>50</v>
      </c>
      <c r="C208" s="3"/>
      <c r="D208" s="3"/>
      <c r="E208" s="3"/>
      <c r="F208" s="3"/>
      <c r="G208" s="3"/>
      <c r="H208" s="3"/>
      <c r="I208" s="3"/>
    </row>
    <row r="209" spans="1:9" x14ac:dyDescent="0.25">
      <c r="A209" s="4"/>
      <c r="B209" s="2">
        <v>51</v>
      </c>
      <c r="C209" s="3"/>
      <c r="D209" s="3"/>
      <c r="E209" s="3"/>
      <c r="F209" s="3"/>
      <c r="G209" s="3"/>
      <c r="H209" s="3"/>
      <c r="I209" s="3"/>
    </row>
    <row r="210" spans="1:9" x14ac:dyDescent="0.25">
      <c r="A210" s="4"/>
      <c r="B210" s="2">
        <v>52</v>
      </c>
      <c r="C210" s="3"/>
      <c r="D210" s="3"/>
      <c r="E210" s="3"/>
      <c r="F210" s="3"/>
      <c r="G210" s="3"/>
      <c r="H210" s="3"/>
      <c r="I21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9"/>
  <sheetViews>
    <sheetView topLeftCell="A140" workbookViewId="0">
      <selection activeCell="K160" sqref="K160"/>
    </sheetView>
  </sheetViews>
  <sheetFormatPr defaultRowHeight="15" x14ac:dyDescent="0.25"/>
  <cols>
    <col min="3" max="3" width="15" customWidth="1"/>
    <col min="4" max="4" width="13.28515625" customWidth="1"/>
    <col min="5" max="5" width="15.85546875" customWidth="1"/>
    <col min="6" max="6" width="11.85546875" customWidth="1"/>
  </cols>
  <sheetData>
    <row r="1" spans="1:6" ht="45" x14ac:dyDescent="0.25">
      <c r="A1" s="1" t="s">
        <v>0</v>
      </c>
      <c r="B1" s="5" t="s">
        <v>1</v>
      </c>
      <c r="C1" s="9" t="s">
        <v>10</v>
      </c>
      <c r="D1" s="9" t="s">
        <v>11</v>
      </c>
      <c r="E1" s="9" t="s">
        <v>12</v>
      </c>
      <c r="F1" s="9" t="s">
        <v>8</v>
      </c>
    </row>
    <row r="2" spans="1:6" x14ac:dyDescent="0.25">
      <c r="A2" s="2">
        <v>2023</v>
      </c>
      <c r="B2" s="6">
        <v>1</v>
      </c>
      <c r="C2" s="10">
        <f>'MINIMUM TEM'!I3</f>
        <v>30.6</v>
      </c>
      <c r="D2" s="11">
        <f>'MAXIMUM TEM'!I3</f>
        <v>31.8</v>
      </c>
      <c r="E2" s="10">
        <f>D2-C2</f>
        <v>1.1999999999999993</v>
      </c>
      <c r="F2" s="7">
        <v>0</v>
      </c>
    </row>
    <row r="3" spans="1:6" x14ac:dyDescent="0.25">
      <c r="A3" s="2">
        <v>2023</v>
      </c>
      <c r="B3" s="6">
        <v>2</v>
      </c>
      <c r="C3" s="10">
        <f>'MINIMUM TEM'!I4</f>
        <v>31</v>
      </c>
      <c r="D3" s="11">
        <f>'MAXIMUM TEM'!I4</f>
        <v>33</v>
      </c>
      <c r="E3" s="10">
        <f t="shared" ref="E3:E66" si="0">D3-C3</f>
        <v>2</v>
      </c>
      <c r="F3" s="7">
        <v>0</v>
      </c>
    </row>
    <row r="4" spans="1:6" x14ac:dyDescent="0.25">
      <c r="A4" s="2">
        <v>2023</v>
      </c>
      <c r="B4" s="6">
        <v>3</v>
      </c>
      <c r="C4" s="10">
        <f>'MINIMUM TEM'!I5</f>
        <v>28</v>
      </c>
      <c r="D4" s="11">
        <f>'MAXIMUM TEM'!I5</f>
        <v>30.666666666666668</v>
      </c>
      <c r="E4" s="10">
        <f t="shared" si="0"/>
        <v>2.6666666666666679</v>
      </c>
      <c r="F4" s="7">
        <v>13</v>
      </c>
    </row>
    <row r="5" spans="1:6" x14ac:dyDescent="0.25">
      <c r="A5" s="2">
        <v>2023</v>
      </c>
      <c r="B5" s="6">
        <v>4</v>
      </c>
      <c r="C5" s="10">
        <f>'MINIMUM TEM'!I6</f>
        <v>30.5</v>
      </c>
      <c r="D5" s="11">
        <f>'MAXIMUM TEM'!I6</f>
        <v>32.5</v>
      </c>
      <c r="E5" s="10">
        <f t="shared" si="0"/>
        <v>2</v>
      </c>
      <c r="F5" s="7">
        <v>0</v>
      </c>
    </row>
    <row r="6" spans="1:6" x14ac:dyDescent="0.25">
      <c r="A6" s="2">
        <v>2023</v>
      </c>
      <c r="B6" s="6">
        <v>5</v>
      </c>
      <c r="C6" s="10">
        <f>'MINIMUM TEM'!I7</f>
        <v>25.2</v>
      </c>
      <c r="D6" s="11">
        <f>'MAXIMUM TEM'!I7</f>
        <v>30.8</v>
      </c>
      <c r="E6" s="10">
        <f t="shared" si="0"/>
        <v>5.6000000000000014</v>
      </c>
      <c r="F6" s="7">
        <v>18</v>
      </c>
    </row>
    <row r="7" spans="1:6" x14ac:dyDescent="0.25">
      <c r="A7" s="2">
        <v>2023</v>
      </c>
      <c r="B7" s="6">
        <v>6</v>
      </c>
      <c r="C7" s="10">
        <f>'MINIMUM TEM'!I8</f>
        <v>25.5</v>
      </c>
      <c r="D7" s="11">
        <f>'MAXIMUM TEM'!I8</f>
        <v>34</v>
      </c>
      <c r="E7" s="10">
        <f t="shared" si="0"/>
        <v>8.5</v>
      </c>
      <c r="F7" s="7">
        <v>0</v>
      </c>
    </row>
    <row r="8" spans="1:6" x14ac:dyDescent="0.25">
      <c r="A8" s="2">
        <v>2023</v>
      </c>
      <c r="B8" s="6">
        <v>7</v>
      </c>
      <c r="C8" s="10">
        <f>'MINIMUM TEM'!I9</f>
        <v>19</v>
      </c>
      <c r="D8" s="11">
        <f>'MAXIMUM TEM'!I9</f>
        <v>35.5</v>
      </c>
      <c r="E8" s="10">
        <f t="shared" si="0"/>
        <v>16.5</v>
      </c>
      <c r="F8" s="7">
        <v>0</v>
      </c>
    </row>
    <row r="9" spans="1:6" x14ac:dyDescent="0.25">
      <c r="A9" s="2">
        <v>2023</v>
      </c>
      <c r="B9" s="6">
        <v>8</v>
      </c>
      <c r="C9" s="10">
        <f>'MINIMUM TEM'!I10</f>
        <v>21.6</v>
      </c>
      <c r="D9" s="11">
        <f>'MAXIMUM TEM'!I10</f>
        <v>36</v>
      </c>
      <c r="E9" s="10">
        <f t="shared" si="0"/>
        <v>14.399999999999999</v>
      </c>
      <c r="F9" s="7">
        <v>0</v>
      </c>
    </row>
    <row r="10" spans="1:6" x14ac:dyDescent="0.25">
      <c r="A10" s="2">
        <v>2023</v>
      </c>
      <c r="B10" s="6">
        <v>9</v>
      </c>
      <c r="C10" s="10">
        <f>'MINIMUM TEM'!I11</f>
        <v>27.4</v>
      </c>
      <c r="D10" s="11">
        <f>'MAXIMUM TEM'!I11</f>
        <v>32.6</v>
      </c>
      <c r="E10" s="10">
        <f t="shared" si="0"/>
        <v>5.2000000000000028</v>
      </c>
      <c r="F10" s="7">
        <v>0</v>
      </c>
    </row>
    <row r="11" spans="1:6" x14ac:dyDescent="0.25">
      <c r="A11" s="2">
        <v>2023</v>
      </c>
      <c r="B11" s="6">
        <v>10</v>
      </c>
      <c r="C11" s="10">
        <f>'MINIMUM TEM'!I12</f>
        <v>20.8</v>
      </c>
      <c r="D11" s="11">
        <f>'MAXIMUM TEM'!I12</f>
        <v>33.6</v>
      </c>
      <c r="E11" s="10">
        <f t="shared" si="0"/>
        <v>12.8</v>
      </c>
      <c r="F11" s="7">
        <v>13</v>
      </c>
    </row>
    <row r="12" spans="1:6" x14ac:dyDescent="0.25">
      <c r="A12" s="2">
        <v>2023</v>
      </c>
      <c r="B12" s="6">
        <v>11</v>
      </c>
      <c r="C12" s="10">
        <f>'MINIMUM TEM'!I13</f>
        <v>21.666666666666668</v>
      </c>
      <c r="D12" s="11">
        <f>'MAXIMUM TEM'!I13</f>
        <v>35.666666666666664</v>
      </c>
      <c r="E12" s="10">
        <f t="shared" si="0"/>
        <v>13.999999999999996</v>
      </c>
      <c r="F12" s="7">
        <v>68</v>
      </c>
    </row>
    <row r="13" spans="1:6" x14ac:dyDescent="0.25">
      <c r="A13" s="2">
        <v>2023</v>
      </c>
      <c r="B13" s="6">
        <v>12</v>
      </c>
      <c r="C13" s="10">
        <f>'MINIMUM TEM'!I14</f>
        <v>21.666666666666668</v>
      </c>
      <c r="D13" s="11">
        <f>'MAXIMUM TEM'!I14</f>
        <v>35.333333333333336</v>
      </c>
      <c r="E13" s="10">
        <f t="shared" si="0"/>
        <v>13.666666666666668</v>
      </c>
      <c r="F13" s="7">
        <v>129</v>
      </c>
    </row>
    <row r="14" spans="1:6" x14ac:dyDescent="0.25">
      <c r="A14" s="2">
        <v>2023</v>
      </c>
      <c r="B14" s="6">
        <v>13</v>
      </c>
      <c r="C14" s="10">
        <f>'MINIMUM TEM'!I15</f>
        <v>22.4</v>
      </c>
      <c r="D14" s="11">
        <f>'MAXIMUM TEM'!I15</f>
        <v>36.4</v>
      </c>
      <c r="E14" s="10">
        <f t="shared" si="0"/>
        <v>14</v>
      </c>
      <c r="F14" s="7">
        <v>45</v>
      </c>
    </row>
    <row r="15" spans="1:6" x14ac:dyDescent="0.25">
      <c r="A15" s="2">
        <v>2023</v>
      </c>
      <c r="B15" s="6">
        <v>14</v>
      </c>
      <c r="C15" s="10">
        <f>'MINIMUM TEM'!I16</f>
        <v>22.2</v>
      </c>
      <c r="D15" s="11">
        <f>'MAXIMUM TEM'!I16</f>
        <v>34.799999999999997</v>
      </c>
      <c r="E15" s="10">
        <f t="shared" si="0"/>
        <v>12.599999999999998</v>
      </c>
      <c r="F15" s="7">
        <v>3</v>
      </c>
    </row>
    <row r="16" spans="1:6" x14ac:dyDescent="0.25">
      <c r="A16" s="2">
        <v>2023</v>
      </c>
      <c r="B16" s="6">
        <v>15</v>
      </c>
      <c r="C16" s="10">
        <f>'MINIMUM TEM'!I17</f>
        <v>22</v>
      </c>
      <c r="D16" s="11">
        <f>'MAXIMUM TEM'!I17</f>
        <v>36.5</v>
      </c>
      <c r="E16" s="10">
        <f t="shared" si="0"/>
        <v>14.5</v>
      </c>
      <c r="F16" s="7">
        <v>86</v>
      </c>
    </row>
    <row r="17" spans="1:6" x14ac:dyDescent="0.25">
      <c r="A17" s="2">
        <v>2023</v>
      </c>
      <c r="B17" s="6">
        <v>16</v>
      </c>
      <c r="C17" s="10">
        <f>'MINIMUM TEM'!I18</f>
        <v>23</v>
      </c>
      <c r="D17" s="11">
        <f>'MAXIMUM TEM'!I18</f>
        <v>36.799999999999997</v>
      </c>
      <c r="E17" s="10">
        <f t="shared" si="0"/>
        <v>13.799999999999997</v>
      </c>
      <c r="F17" s="7">
        <v>58</v>
      </c>
    </row>
    <row r="18" spans="1:6" x14ac:dyDescent="0.25">
      <c r="A18" s="2">
        <v>2023</v>
      </c>
      <c r="B18" s="6">
        <v>17</v>
      </c>
      <c r="C18" s="10">
        <f>'MINIMUM TEM'!I19</f>
        <v>27.666666666666668</v>
      </c>
      <c r="D18" s="11">
        <f>'MAXIMUM TEM'!I19</f>
        <v>35.833333333333336</v>
      </c>
      <c r="E18" s="10">
        <f t="shared" si="0"/>
        <v>8.1666666666666679</v>
      </c>
      <c r="F18" s="7">
        <v>37</v>
      </c>
    </row>
    <row r="19" spans="1:6" x14ac:dyDescent="0.25">
      <c r="A19" s="2">
        <v>2023</v>
      </c>
      <c r="B19" s="6">
        <v>18</v>
      </c>
      <c r="C19" s="10">
        <f>'MINIMUM TEM'!I20</f>
        <v>27.75</v>
      </c>
      <c r="D19" s="11">
        <f>'MAXIMUM TEM'!I20</f>
        <v>32</v>
      </c>
      <c r="E19" s="10">
        <f t="shared" si="0"/>
        <v>4.25</v>
      </c>
      <c r="F19" s="7">
        <v>0</v>
      </c>
    </row>
    <row r="20" spans="1:6" x14ac:dyDescent="0.25">
      <c r="A20" s="2">
        <v>2023</v>
      </c>
      <c r="B20" s="6">
        <v>19</v>
      </c>
      <c r="C20" s="10">
        <f>'MINIMUM TEM'!I21</f>
        <v>26.6</v>
      </c>
      <c r="D20" s="11">
        <f>'MAXIMUM TEM'!I21</f>
        <v>32.6</v>
      </c>
      <c r="E20" s="10">
        <f t="shared" si="0"/>
        <v>6</v>
      </c>
      <c r="F20" s="7">
        <v>133</v>
      </c>
    </row>
    <row r="21" spans="1:6" x14ac:dyDescent="0.25">
      <c r="A21" s="2">
        <v>2023</v>
      </c>
      <c r="B21" s="6">
        <v>20</v>
      </c>
      <c r="C21" s="10">
        <f>'MINIMUM TEM'!I22</f>
        <v>23</v>
      </c>
      <c r="D21" s="11">
        <f>'MAXIMUM TEM'!I22</f>
        <v>34.833333333333336</v>
      </c>
      <c r="E21" s="10">
        <f t="shared" si="0"/>
        <v>11.833333333333336</v>
      </c>
      <c r="F21" s="7">
        <v>0</v>
      </c>
    </row>
    <row r="22" spans="1:6" x14ac:dyDescent="0.25">
      <c r="A22" s="2">
        <v>2023</v>
      </c>
      <c r="B22" s="6">
        <v>21</v>
      </c>
      <c r="C22" s="10">
        <f>'MINIMUM TEM'!I23</f>
        <v>26.5</v>
      </c>
      <c r="D22" s="11">
        <f>'MAXIMUM TEM'!I23</f>
        <v>33</v>
      </c>
      <c r="E22" s="10">
        <f t="shared" si="0"/>
        <v>6.5</v>
      </c>
      <c r="F22" s="7">
        <v>0</v>
      </c>
    </row>
    <row r="23" spans="1:6" x14ac:dyDescent="0.25">
      <c r="A23" s="2">
        <v>2023</v>
      </c>
      <c r="B23" s="6">
        <v>22</v>
      </c>
      <c r="C23" s="10">
        <f>'MINIMUM TEM'!I24</f>
        <v>26.5</v>
      </c>
      <c r="D23" s="11">
        <f>'MAXIMUM TEM'!I24</f>
        <v>32.25</v>
      </c>
      <c r="E23" s="10">
        <f t="shared" si="0"/>
        <v>5.75</v>
      </c>
      <c r="F23" s="7">
        <v>0</v>
      </c>
    </row>
    <row r="24" spans="1:6" x14ac:dyDescent="0.25">
      <c r="A24" s="2">
        <v>2023</v>
      </c>
      <c r="B24" s="6">
        <v>23</v>
      </c>
      <c r="C24" s="10">
        <f>'MINIMUM TEM'!I25</f>
        <v>24.666666666666668</v>
      </c>
      <c r="D24" s="11">
        <f>'MAXIMUM TEM'!I25</f>
        <v>30.333333333333332</v>
      </c>
      <c r="E24" s="10">
        <f t="shared" si="0"/>
        <v>5.6666666666666643</v>
      </c>
      <c r="F24" s="7">
        <v>7</v>
      </c>
    </row>
    <row r="25" spans="1:6" x14ac:dyDescent="0.25">
      <c r="A25" s="2">
        <v>2023</v>
      </c>
      <c r="B25" s="6">
        <v>24</v>
      </c>
      <c r="C25" s="10">
        <f>'MINIMUM TEM'!I26</f>
        <v>25.833333333333332</v>
      </c>
      <c r="D25" s="11">
        <f>'MAXIMUM TEM'!I26</f>
        <v>31.5</v>
      </c>
      <c r="E25" s="10">
        <f t="shared" si="0"/>
        <v>5.6666666666666679</v>
      </c>
      <c r="F25" s="7">
        <v>78</v>
      </c>
    </row>
    <row r="26" spans="1:6" x14ac:dyDescent="0.25">
      <c r="A26" s="2">
        <v>2023</v>
      </c>
      <c r="B26" s="6">
        <v>25</v>
      </c>
      <c r="C26" s="10">
        <f>'MINIMUM TEM'!I27</f>
        <v>26</v>
      </c>
      <c r="D26" s="11">
        <f>'MAXIMUM TEM'!I27</f>
        <v>32.833333333333336</v>
      </c>
      <c r="E26" s="10">
        <f t="shared" si="0"/>
        <v>6.8333333333333357</v>
      </c>
      <c r="F26" s="7">
        <v>0</v>
      </c>
    </row>
    <row r="27" spans="1:6" x14ac:dyDescent="0.25">
      <c r="A27" s="2">
        <v>2023</v>
      </c>
      <c r="B27" s="6">
        <v>26</v>
      </c>
      <c r="C27" s="10">
        <f>'MINIMUM TEM'!I28</f>
        <v>26.8</v>
      </c>
      <c r="D27" s="11">
        <f>'MAXIMUM TEM'!I28</f>
        <v>31.6</v>
      </c>
      <c r="E27" s="10">
        <f t="shared" si="0"/>
        <v>4.8000000000000007</v>
      </c>
      <c r="F27" s="7">
        <v>0</v>
      </c>
    </row>
    <row r="28" spans="1:6" x14ac:dyDescent="0.25">
      <c r="A28" s="2">
        <v>2023</v>
      </c>
      <c r="B28" s="6">
        <v>27</v>
      </c>
      <c r="C28" s="10">
        <f>'MINIMUM TEM'!I29</f>
        <v>27.6</v>
      </c>
      <c r="D28" s="11">
        <f>'MAXIMUM TEM'!I29</f>
        <v>33.200000000000003</v>
      </c>
      <c r="E28" s="10">
        <f t="shared" si="0"/>
        <v>5.6000000000000014</v>
      </c>
      <c r="F28" s="7">
        <v>64.5</v>
      </c>
    </row>
    <row r="29" spans="1:6" x14ac:dyDescent="0.25">
      <c r="A29" s="2">
        <v>2023</v>
      </c>
      <c r="B29" s="6">
        <v>28</v>
      </c>
      <c r="C29" s="10">
        <f>'MINIMUM TEM'!I30</f>
        <v>28.166666666666668</v>
      </c>
      <c r="D29" s="11">
        <f>'MAXIMUM TEM'!I30</f>
        <v>32.333333333333336</v>
      </c>
      <c r="E29" s="10">
        <f t="shared" si="0"/>
        <v>4.1666666666666679</v>
      </c>
      <c r="F29" s="7">
        <v>6</v>
      </c>
    </row>
    <row r="30" spans="1:6" x14ac:dyDescent="0.25">
      <c r="A30" s="2">
        <v>2023</v>
      </c>
      <c r="B30" s="6">
        <v>29</v>
      </c>
      <c r="C30" s="10">
        <f>'MINIMUM TEM'!I31</f>
        <v>28.833333333333332</v>
      </c>
      <c r="D30" s="11">
        <f>'MAXIMUM TEM'!I31</f>
        <v>33.666666666666664</v>
      </c>
      <c r="E30" s="10">
        <f t="shared" si="0"/>
        <v>4.8333333333333321</v>
      </c>
      <c r="F30" s="7">
        <v>0</v>
      </c>
    </row>
    <row r="31" spans="1:6" x14ac:dyDescent="0.25">
      <c r="A31" s="2">
        <v>2023</v>
      </c>
      <c r="B31" s="6">
        <v>30</v>
      </c>
      <c r="C31" s="10">
        <f>'MINIMUM TEM'!I32</f>
        <v>27.8</v>
      </c>
      <c r="D31" s="11">
        <f>'MAXIMUM TEM'!I32</f>
        <v>32.4</v>
      </c>
      <c r="E31" s="10">
        <f t="shared" si="0"/>
        <v>4.5999999999999979</v>
      </c>
      <c r="F31" s="7">
        <v>0</v>
      </c>
    </row>
    <row r="32" spans="1:6" x14ac:dyDescent="0.25">
      <c r="A32" s="2">
        <v>2023</v>
      </c>
      <c r="B32" s="6">
        <v>31</v>
      </c>
      <c r="C32" s="10">
        <f>'MINIMUM TEM'!I33</f>
        <v>27.2</v>
      </c>
      <c r="D32" s="11">
        <f>'MAXIMUM TEM'!I33</f>
        <v>35.6</v>
      </c>
      <c r="E32" s="10">
        <f t="shared" si="0"/>
        <v>8.4000000000000021</v>
      </c>
      <c r="F32" s="7">
        <v>0</v>
      </c>
    </row>
    <row r="33" spans="1:6" x14ac:dyDescent="0.25">
      <c r="A33" s="2">
        <v>2023</v>
      </c>
      <c r="B33" s="6">
        <v>32</v>
      </c>
      <c r="C33" s="10">
        <f>'MINIMUM TEM'!I34</f>
        <v>28</v>
      </c>
      <c r="D33" s="11">
        <f>'MAXIMUM TEM'!I34</f>
        <v>35.5</v>
      </c>
      <c r="E33" s="10">
        <f t="shared" si="0"/>
        <v>7.5</v>
      </c>
      <c r="F33" s="7">
        <v>0</v>
      </c>
    </row>
    <row r="34" spans="1:6" x14ac:dyDescent="0.25">
      <c r="A34" s="2">
        <v>2023</v>
      </c>
      <c r="B34" s="6">
        <v>33</v>
      </c>
      <c r="C34" s="10">
        <f>'MINIMUM TEM'!I35</f>
        <v>27.6</v>
      </c>
      <c r="D34" s="11">
        <f>'MAXIMUM TEM'!I35</f>
        <v>34.6</v>
      </c>
      <c r="E34" s="10">
        <f t="shared" si="0"/>
        <v>7</v>
      </c>
      <c r="F34" s="7">
        <v>0</v>
      </c>
    </row>
    <row r="35" spans="1:6" x14ac:dyDescent="0.25">
      <c r="A35" s="2">
        <v>2023</v>
      </c>
      <c r="B35" s="6">
        <v>34</v>
      </c>
      <c r="C35" s="10">
        <f>'MINIMUM TEM'!I36</f>
        <v>28.166666666666668</v>
      </c>
      <c r="D35" s="11">
        <f>'MAXIMUM TEM'!I36</f>
        <v>35.333333333333336</v>
      </c>
      <c r="E35" s="10">
        <f t="shared" si="0"/>
        <v>7.1666666666666679</v>
      </c>
      <c r="F35" s="7">
        <v>0</v>
      </c>
    </row>
    <row r="36" spans="1:6" x14ac:dyDescent="0.25">
      <c r="A36" s="2">
        <v>2023</v>
      </c>
      <c r="B36" s="6">
        <v>35</v>
      </c>
      <c r="C36" s="10">
        <f>'MINIMUM TEM'!I37</f>
        <v>25.4</v>
      </c>
      <c r="D36" s="11">
        <f>'MAXIMUM TEM'!I37</f>
        <v>32.4</v>
      </c>
      <c r="E36" s="10">
        <f t="shared" si="0"/>
        <v>7</v>
      </c>
      <c r="F36" s="7">
        <v>62</v>
      </c>
    </row>
    <row r="37" spans="1:6" x14ac:dyDescent="0.25">
      <c r="A37" s="2">
        <v>2023</v>
      </c>
      <c r="B37" s="6">
        <v>36</v>
      </c>
      <c r="C37" s="10">
        <f>'MINIMUM TEM'!I38</f>
        <v>23.833333333333332</v>
      </c>
      <c r="D37" s="11">
        <f>'MAXIMUM TEM'!I38</f>
        <v>29.833333333333332</v>
      </c>
      <c r="E37" s="10">
        <f t="shared" si="0"/>
        <v>6</v>
      </c>
      <c r="F37" s="7">
        <v>126</v>
      </c>
    </row>
    <row r="38" spans="1:6" x14ac:dyDescent="0.25">
      <c r="A38" s="2">
        <v>2023</v>
      </c>
      <c r="B38" s="6">
        <v>37</v>
      </c>
      <c r="C38" s="10">
        <f>'MINIMUM TEM'!I39</f>
        <v>20.8</v>
      </c>
      <c r="D38" s="11">
        <f>'MAXIMUM TEM'!I39</f>
        <v>30.2</v>
      </c>
      <c r="E38" s="10">
        <f t="shared" si="0"/>
        <v>9.3999999999999986</v>
      </c>
      <c r="F38" s="7">
        <v>72</v>
      </c>
    </row>
    <row r="39" spans="1:6" x14ac:dyDescent="0.25">
      <c r="A39" s="2">
        <v>2023</v>
      </c>
      <c r="B39" s="6">
        <v>38</v>
      </c>
      <c r="C39" s="10">
        <f>'MINIMUM TEM'!I40</f>
        <v>32.166666666666664</v>
      </c>
      <c r="D39" s="11">
        <f>'MAXIMUM TEM'!I40</f>
        <v>34.833333333333336</v>
      </c>
      <c r="E39" s="10">
        <f t="shared" si="0"/>
        <v>2.6666666666666714</v>
      </c>
      <c r="F39" s="7">
        <v>24</v>
      </c>
    </row>
    <row r="40" spans="1:6" x14ac:dyDescent="0.25">
      <c r="A40" s="2">
        <v>2023</v>
      </c>
      <c r="B40" s="6">
        <v>39</v>
      </c>
      <c r="C40" s="10">
        <f>'MINIMUM TEM'!I41</f>
        <v>27</v>
      </c>
      <c r="D40" s="11">
        <f>'MAXIMUM TEM'!I41</f>
        <v>32</v>
      </c>
      <c r="E40" s="10">
        <f t="shared" si="0"/>
        <v>5</v>
      </c>
      <c r="F40" s="7">
        <v>112</v>
      </c>
    </row>
    <row r="41" spans="1:6" x14ac:dyDescent="0.25">
      <c r="A41" s="2">
        <v>2023</v>
      </c>
      <c r="B41" s="6">
        <v>40</v>
      </c>
      <c r="C41" s="10">
        <f>'MINIMUM TEM'!I42</f>
        <v>32.5</v>
      </c>
      <c r="D41" s="11">
        <f>'MAXIMUM TEM'!I42</f>
        <v>35.833333333333336</v>
      </c>
      <c r="E41" s="10">
        <f t="shared" si="0"/>
        <v>3.3333333333333357</v>
      </c>
      <c r="F41" s="7">
        <v>61.5</v>
      </c>
    </row>
    <row r="42" spans="1:6" x14ac:dyDescent="0.25">
      <c r="A42" s="2">
        <v>2023</v>
      </c>
      <c r="B42" s="6">
        <v>41</v>
      </c>
      <c r="C42" s="10">
        <f>'MINIMUM TEM'!I43</f>
        <v>28.333333333333332</v>
      </c>
      <c r="D42" s="11">
        <f>'MAXIMUM TEM'!I43</f>
        <v>34.666666666666664</v>
      </c>
      <c r="E42" s="10">
        <f t="shared" si="0"/>
        <v>6.3333333333333321</v>
      </c>
      <c r="F42" s="7">
        <v>65.849999999999994</v>
      </c>
    </row>
    <row r="43" spans="1:6" x14ac:dyDescent="0.25">
      <c r="A43" s="2">
        <v>2023</v>
      </c>
      <c r="B43" s="6">
        <v>42</v>
      </c>
      <c r="C43" s="10">
        <f>'MINIMUM TEM'!I44</f>
        <v>24.666666666666668</v>
      </c>
      <c r="D43" s="11">
        <f>'MAXIMUM TEM'!I44</f>
        <v>33.833333333333336</v>
      </c>
      <c r="E43" s="10">
        <f t="shared" si="0"/>
        <v>9.1666666666666679</v>
      </c>
      <c r="F43" s="7">
        <v>164</v>
      </c>
    </row>
    <row r="44" spans="1:6" x14ac:dyDescent="0.25">
      <c r="A44" s="2">
        <v>2023</v>
      </c>
      <c r="B44" s="6">
        <v>43</v>
      </c>
      <c r="C44" s="10">
        <f>'MINIMUM TEM'!I45</f>
        <v>32.200000000000003</v>
      </c>
      <c r="D44" s="11">
        <f>'MAXIMUM TEM'!I45</f>
        <v>35.6</v>
      </c>
      <c r="E44" s="10">
        <f t="shared" si="0"/>
        <v>3.3999999999999986</v>
      </c>
      <c r="F44" s="7">
        <v>108</v>
      </c>
    </row>
    <row r="45" spans="1:6" x14ac:dyDescent="0.25">
      <c r="A45" s="2">
        <v>2023</v>
      </c>
      <c r="B45" s="6">
        <v>44</v>
      </c>
      <c r="C45" s="10">
        <f>'MINIMUM TEM'!I46</f>
        <v>22.833333333333332</v>
      </c>
      <c r="D45" s="11">
        <f>'MAXIMUM TEM'!I46</f>
        <v>35.166666666666664</v>
      </c>
      <c r="E45" s="10">
        <f t="shared" si="0"/>
        <v>12.333333333333332</v>
      </c>
      <c r="F45" s="7">
        <v>164.5</v>
      </c>
    </row>
    <row r="46" spans="1:6" x14ac:dyDescent="0.25">
      <c r="A46" s="2">
        <v>2023</v>
      </c>
      <c r="B46" s="6">
        <v>45</v>
      </c>
      <c r="C46" s="10">
        <f>'MINIMUM TEM'!I47</f>
        <v>24.666666666666668</v>
      </c>
      <c r="D46" s="11">
        <f>'MAXIMUM TEM'!I47</f>
        <v>34</v>
      </c>
      <c r="E46" s="10">
        <f t="shared" si="0"/>
        <v>9.3333333333333321</v>
      </c>
      <c r="F46" s="7">
        <v>109</v>
      </c>
    </row>
    <row r="47" spans="1:6" x14ac:dyDescent="0.25">
      <c r="A47" s="2">
        <v>2023</v>
      </c>
      <c r="B47" s="6">
        <v>46</v>
      </c>
      <c r="C47" s="10">
        <f>'MINIMUM TEM'!I48</f>
        <v>25</v>
      </c>
      <c r="D47" s="11">
        <f>'MAXIMUM TEM'!I48</f>
        <v>34</v>
      </c>
      <c r="E47" s="10">
        <f t="shared" si="0"/>
        <v>9</v>
      </c>
      <c r="F47" s="7">
        <v>97.5</v>
      </c>
    </row>
    <row r="48" spans="1:6" x14ac:dyDescent="0.25">
      <c r="A48" s="2">
        <v>2023</v>
      </c>
      <c r="B48" s="6">
        <v>47</v>
      </c>
      <c r="C48" s="10">
        <f>'MINIMUM TEM'!I49</f>
        <v>23.166666666666668</v>
      </c>
      <c r="D48" s="11">
        <f>'MAXIMUM TEM'!I49</f>
        <v>34.833333333333336</v>
      </c>
      <c r="E48" s="10">
        <f t="shared" si="0"/>
        <v>11.666666666666668</v>
      </c>
      <c r="F48" s="7">
        <v>255.5</v>
      </c>
    </row>
    <row r="49" spans="1:6" x14ac:dyDescent="0.25">
      <c r="A49" s="2">
        <v>2023</v>
      </c>
      <c r="B49" s="6">
        <v>48</v>
      </c>
      <c r="C49" s="10">
        <f>'MINIMUM TEM'!I50</f>
        <v>23.166666666666668</v>
      </c>
      <c r="D49" s="11">
        <f>'MAXIMUM TEM'!I50</f>
        <v>33.333333333333336</v>
      </c>
      <c r="E49" s="10">
        <f t="shared" si="0"/>
        <v>10.166666666666668</v>
      </c>
      <c r="F49" s="7">
        <v>44</v>
      </c>
    </row>
    <row r="50" spans="1:6" x14ac:dyDescent="0.25">
      <c r="A50" s="2">
        <v>2023</v>
      </c>
      <c r="B50" s="6">
        <v>49</v>
      </c>
      <c r="C50" s="10">
        <f>'MINIMUM TEM'!I51</f>
        <v>23.166666666666668</v>
      </c>
      <c r="D50" s="11">
        <f>'MAXIMUM TEM'!I51</f>
        <v>32.833333333333336</v>
      </c>
      <c r="E50" s="10">
        <f t="shared" si="0"/>
        <v>9.6666666666666679</v>
      </c>
      <c r="F50" s="7">
        <v>54</v>
      </c>
    </row>
    <row r="51" spans="1:6" x14ac:dyDescent="0.25">
      <c r="A51" s="2">
        <v>2023</v>
      </c>
      <c r="B51" s="6">
        <v>50</v>
      </c>
      <c r="C51" s="10">
        <f>'MINIMUM TEM'!I52</f>
        <v>24</v>
      </c>
      <c r="D51" s="11">
        <f>'MAXIMUM TEM'!I52</f>
        <v>33</v>
      </c>
      <c r="E51" s="10">
        <f t="shared" si="0"/>
        <v>9</v>
      </c>
      <c r="F51" s="7">
        <v>59</v>
      </c>
    </row>
    <row r="52" spans="1:6" x14ac:dyDescent="0.25">
      <c r="A52" s="2">
        <v>2023</v>
      </c>
      <c r="B52" s="6">
        <v>51</v>
      </c>
      <c r="C52" s="10">
        <f>'MINIMUM TEM'!I53</f>
        <v>23</v>
      </c>
      <c r="D52" s="11">
        <f>'MAXIMUM TEM'!I53</f>
        <v>34.166666666666664</v>
      </c>
      <c r="E52" s="10">
        <f t="shared" si="0"/>
        <v>11.166666666666664</v>
      </c>
      <c r="F52" s="7">
        <v>26</v>
      </c>
    </row>
    <row r="53" spans="1:6" x14ac:dyDescent="0.25">
      <c r="A53" s="2">
        <v>2023</v>
      </c>
      <c r="B53" s="6">
        <v>52</v>
      </c>
      <c r="C53" s="10">
        <f>'MINIMUM TEM'!I54</f>
        <v>20.75</v>
      </c>
      <c r="D53" s="11">
        <f>'MAXIMUM TEM'!I54</f>
        <v>34.75</v>
      </c>
      <c r="E53" s="10">
        <f t="shared" si="0"/>
        <v>14</v>
      </c>
      <c r="F53" s="7">
        <v>2</v>
      </c>
    </row>
    <row r="54" spans="1:6" x14ac:dyDescent="0.25">
      <c r="A54" s="2">
        <v>2024</v>
      </c>
      <c r="B54" s="6">
        <v>1</v>
      </c>
      <c r="C54" s="10">
        <f>'MINIMUM TEM'!I55</f>
        <v>22.5</v>
      </c>
      <c r="D54" s="11">
        <f>'MAXIMUM TEM'!I55</f>
        <v>33.666666666666664</v>
      </c>
      <c r="E54" s="10">
        <f t="shared" si="0"/>
        <v>11.166666666666664</v>
      </c>
      <c r="F54" s="7">
        <v>68</v>
      </c>
    </row>
    <row r="55" spans="1:6" x14ac:dyDescent="0.25">
      <c r="A55" s="2">
        <v>2024</v>
      </c>
      <c r="B55" s="6">
        <v>2</v>
      </c>
      <c r="C55" s="10">
        <f>'MINIMUM TEM'!I56</f>
        <v>22.833333333333332</v>
      </c>
      <c r="D55" s="11">
        <f>'MAXIMUM TEM'!I56</f>
        <v>33</v>
      </c>
      <c r="E55" s="10">
        <f t="shared" si="0"/>
        <v>10.166666666666668</v>
      </c>
      <c r="F55" s="7">
        <v>31.5</v>
      </c>
    </row>
    <row r="56" spans="1:6" x14ac:dyDescent="0.25">
      <c r="A56" s="2">
        <v>2024</v>
      </c>
      <c r="B56" s="6">
        <v>3</v>
      </c>
      <c r="C56" s="10">
        <f>'MINIMUM TEM'!I57</f>
        <v>20.8</v>
      </c>
      <c r="D56" s="11">
        <f>'MAXIMUM TEM'!I57</f>
        <v>34.4</v>
      </c>
      <c r="E56" s="10">
        <f t="shared" si="0"/>
        <v>13.599999999999998</v>
      </c>
      <c r="F56" s="7">
        <v>0</v>
      </c>
    </row>
    <row r="57" spans="1:6" x14ac:dyDescent="0.25">
      <c r="A57" s="2">
        <v>2024</v>
      </c>
      <c r="B57" s="6">
        <v>4</v>
      </c>
      <c r="C57" s="10">
        <f>'MINIMUM TEM'!I58</f>
        <v>21.8</v>
      </c>
      <c r="D57" s="11">
        <f>'MAXIMUM TEM'!I58</f>
        <v>34.4</v>
      </c>
      <c r="E57" s="10">
        <f t="shared" si="0"/>
        <v>12.599999999999998</v>
      </c>
      <c r="F57" s="7">
        <v>0</v>
      </c>
    </row>
    <row r="58" spans="1:6" x14ac:dyDescent="0.25">
      <c r="A58" s="2">
        <v>2024</v>
      </c>
      <c r="B58" s="6">
        <v>5</v>
      </c>
      <c r="C58" s="10">
        <f>'MINIMUM TEM'!I59</f>
        <v>22</v>
      </c>
      <c r="D58" s="11">
        <f>'MAXIMUM TEM'!I59</f>
        <v>35.333333333333336</v>
      </c>
      <c r="E58" s="10">
        <f t="shared" si="0"/>
        <v>13.333333333333336</v>
      </c>
      <c r="F58" s="7">
        <v>17.5</v>
      </c>
    </row>
    <row r="59" spans="1:6" x14ac:dyDescent="0.25">
      <c r="A59" s="2">
        <v>2024</v>
      </c>
      <c r="B59" s="6">
        <v>6</v>
      </c>
      <c r="C59" s="10">
        <f>'MINIMUM TEM'!I60</f>
        <v>22</v>
      </c>
      <c r="D59" s="11">
        <f>'MAXIMUM TEM'!I60</f>
        <v>35.333333333333336</v>
      </c>
      <c r="E59" s="10">
        <f t="shared" si="0"/>
        <v>13.333333333333336</v>
      </c>
      <c r="F59" s="7">
        <v>0</v>
      </c>
    </row>
    <row r="60" spans="1:6" x14ac:dyDescent="0.25">
      <c r="A60" s="2">
        <v>2024</v>
      </c>
      <c r="B60" s="6">
        <v>7</v>
      </c>
      <c r="C60" s="10">
        <f>'MINIMUM TEM'!I61</f>
        <v>20.833333333333332</v>
      </c>
      <c r="D60" s="11">
        <f>'MAXIMUM TEM'!I61</f>
        <v>35</v>
      </c>
      <c r="E60" s="10">
        <f t="shared" si="0"/>
        <v>14.166666666666668</v>
      </c>
      <c r="F60" s="7">
        <v>0</v>
      </c>
    </row>
    <row r="61" spans="1:6" x14ac:dyDescent="0.25">
      <c r="A61" s="2">
        <v>2024</v>
      </c>
      <c r="B61" s="6">
        <v>8</v>
      </c>
      <c r="C61" s="10">
        <f>'MINIMUM TEM'!I62</f>
        <v>22.6</v>
      </c>
      <c r="D61" s="11">
        <f>'MAXIMUM TEM'!I62</f>
        <v>36.4</v>
      </c>
      <c r="E61" s="10">
        <f t="shared" si="0"/>
        <v>13.799999999999997</v>
      </c>
      <c r="F61" s="7">
        <v>7</v>
      </c>
    </row>
    <row r="62" spans="1:6" x14ac:dyDescent="0.25">
      <c r="A62" s="2">
        <v>2024</v>
      </c>
      <c r="B62" s="6">
        <v>9</v>
      </c>
      <c r="C62" s="10">
        <f>'MINIMUM TEM'!I63</f>
        <v>21.833333333333332</v>
      </c>
      <c r="D62" s="11">
        <f>'MAXIMUM TEM'!I63</f>
        <v>35.833333333333336</v>
      </c>
      <c r="E62" s="10">
        <f t="shared" si="0"/>
        <v>14.000000000000004</v>
      </c>
      <c r="F62" s="7">
        <v>0</v>
      </c>
    </row>
    <row r="63" spans="1:6" x14ac:dyDescent="0.25">
      <c r="A63" s="2">
        <v>2024</v>
      </c>
      <c r="B63" s="6">
        <v>10</v>
      </c>
      <c r="C63" s="10">
        <f>'MINIMUM TEM'!I64</f>
        <v>20.5</v>
      </c>
      <c r="D63" s="11">
        <f>'MAXIMUM TEM'!I64</f>
        <v>36.333333333333336</v>
      </c>
      <c r="E63" s="10">
        <f t="shared" si="0"/>
        <v>15.833333333333336</v>
      </c>
      <c r="F63" s="7">
        <v>0</v>
      </c>
    </row>
    <row r="64" spans="1:6" x14ac:dyDescent="0.25">
      <c r="A64" s="2">
        <v>2024</v>
      </c>
      <c r="B64" s="6">
        <v>11</v>
      </c>
      <c r="C64" s="10">
        <f>'MINIMUM TEM'!I65</f>
        <v>27.166666666666668</v>
      </c>
      <c r="D64" s="11">
        <f>'MAXIMUM TEM'!I65</f>
        <v>37.333333333333336</v>
      </c>
      <c r="E64" s="10">
        <f t="shared" si="0"/>
        <v>10.166666666666668</v>
      </c>
      <c r="F64" s="7">
        <v>0</v>
      </c>
    </row>
    <row r="65" spans="1:6" x14ac:dyDescent="0.25">
      <c r="A65" s="2">
        <v>2024</v>
      </c>
      <c r="B65" s="6">
        <v>12</v>
      </c>
      <c r="C65" s="10">
        <f>'MINIMUM TEM'!I66</f>
        <v>23.333333333333332</v>
      </c>
      <c r="D65" s="11">
        <f>'MAXIMUM TEM'!I66</f>
        <v>36.666666666666664</v>
      </c>
      <c r="E65" s="10">
        <f t="shared" si="0"/>
        <v>13.333333333333332</v>
      </c>
      <c r="F65" s="7">
        <v>11</v>
      </c>
    </row>
    <row r="66" spans="1:6" x14ac:dyDescent="0.25">
      <c r="A66" s="2">
        <v>2024</v>
      </c>
      <c r="B66" s="6">
        <v>13</v>
      </c>
      <c r="C66" s="10">
        <f>'MINIMUM TEM'!I67</f>
        <v>27.666666666666668</v>
      </c>
      <c r="D66" s="11">
        <f>'MAXIMUM TEM'!I67</f>
        <v>35.666666666666664</v>
      </c>
      <c r="E66" s="10">
        <f t="shared" si="0"/>
        <v>7.9999999999999964</v>
      </c>
      <c r="F66" s="7">
        <v>0</v>
      </c>
    </row>
    <row r="67" spans="1:6" x14ac:dyDescent="0.25">
      <c r="A67" s="2">
        <v>2024</v>
      </c>
      <c r="B67" s="6">
        <v>14</v>
      </c>
      <c r="C67" s="10">
        <f>'MINIMUM TEM'!I68</f>
        <v>26</v>
      </c>
      <c r="D67" s="11">
        <f>'MAXIMUM TEM'!I68</f>
        <v>35</v>
      </c>
      <c r="E67" s="10">
        <f t="shared" ref="E67:E130" si="1">D67-C67</f>
        <v>9</v>
      </c>
      <c r="F67" s="7">
        <v>7</v>
      </c>
    </row>
    <row r="68" spans="1:6" x14ac:dyDescent="0.25">
      <c r="A68" s="2">
        <v>2024</v>
      </c>
      <c r="B68" s="6">
        <v>15</v>
      </c>
      <c r="C68" s="10">
        <f>'MINIMUM TEM'!I69</f>
        <v>21.833333333333332</v>
      </c>
      <c r="D68" s="11">
        <f>'MAXIMUM TEM'!I69</f>
        <v>33.200000000000003</v>
      </c>
      <c r="E68" s="10">
        <f t="shared" si="1"/>
        <v>11.366666666666671</v>
      </c>
      <c r="F68" s="7">
        <v>37</v>
      </c>
    </row>
    <row r="69" spans="1:6" x14ac:dyDescent="0.25">
      <c r="A69" s="2">
        <v>2024</v>
      </c>
      <c r="B69" s="6">
        <v>16</v>
      </c>
      <c r="C69" s="10">
        <f>'MINIMUM TEM'!I70</f>
        <v>24</v>
      </c>
      <c r="D69" s="11">
        <f>'MAXIMUM TEM'!I70</f>
        <v>35.166666666666664</v>
      </c>
      <c r="E69" s="10">
        <f t="shared" si="1"/>
        <v>11.166666666666664</v>
      </c>
      <c r="F69" s="7">
        <v>93</v>
      </c>
    </row>
    <row r="70" spans="1:6" x14ac:dyDescent="0.25">
      <c r="A70" s="2">
        <v>2024</v>
      </c>
      <c r="B70" s="6">
        <v>17</v>
      </c>
      <c r="C70" s="10">
        <f>'MINIMUM TEM'!I71</f>
        <v>27.166666666666668</v>
      </c>
      <c r="D70" s="11">
        <f>'MAXIMUM TEM'!I71</f>
        <v>36.666666666666664</v>
      </c>
      <c r="E70" s="10">
        <f t="shared" si="1"/>
        <v>9.4999999999999964</v>
      </c>
      <c r="F70" s="7">
        <v>38</v>
      </c>
    </row>
    <row r="71" spans="1:6" x14ac:dyDescent="0.25">
      <c r="A71" s="2">
        <v>2024</v>
      </c>
      <c r="B71" s="6">
        <v>18</v>
      </c>
      <c r="C71" s="10">
        <f>'MINIMUM TEM'!I72</f>
        <v>24.8</v>
      </c>
      <c r="D71" s="11">
        <f>'MAXIMUM TEM'!I72</f>
        <v>36.6</v>
      </c>
      <c r="E71" s="10">
        <f t="shared" si="1"/>
        <v>11.8</v>
      </c>
      <c r="F71" s="7">
        <v>0</v>
      </c>
    </row>
    <row r="72" spans="1:6" x14ac:dyDescent="0.25">
      <c r="A72" s="2">
        <v>2024</v>
      </c>
      <c r="B72" s="6">
        <v>19</v>
      </c>
      <c r="C72" s="10">
        <f>'MINIMUM TEM'!I73</f>
        <v>24.666666666666668</v>
      </c>
      <c r="D72" s="11">
        <f>'MAXIMUM TEM'!I73</f>
        <v>35.666666666666664</v>
      </c>
      <c r="E72" s="10">
        <f t="shared" si="1"/>
        <v>10.999999999999996</v>
      </c>
      <c r="F72" s="7">
        <v>76.5</v>
      </c>
    </row>
    <row r="73" spans="1:6" x14ac:dyDescent="0.25">
      <c r="A73" s="2">
        <v>2024</v>
      </c>
      <c r="B73" s="6">
        <v>20</v>
      </c>
      <c r="C73" s="10">
        <f>'MINIMUM TEM'!I74</f>
        <v>25.333333333333332</v>
      </c>
      <c r="D73" s="11">
        <f>'MAXIMUM TEM'!I74</f>
        <v>35.666666666666664</v>
      </c>
      <c r="E73" s="10">
        <f t="shared" si="1"/>
        <v>10.333333333333332</v>
      </c>
      <c r="F73" s="7">
        <v>215.5</v>
      </c>
    </row>
    <row r="74" spans="1:6" x14ac:dyDescent="0.25">
      <c r="A74" s="2">
        <v>2024</v>
      </c>
      <c r="B74" s="6">
        <v>21</v>
      </c>
      <c r="C74" s="10">
        <f>'MINIMUM TEM'!I75</f>
        <v>24</v>
      </c>
      <c r="D74" s="11">
        <f>'MAXIMUM TEM'!I75</f>
        <v>32.5</v>
      </c>
      <c r="E74" s="10">
        <f t="shared" si="1"/>
        <v>8.5</v>
      </c>
      <c r="F74" s="7">
        <v>57</v>
      </c>
    </row>
    <row r="75" spans="1:6" x14ac:dyDescent="0.25">
      <c r="A75" s="2">
        <v>2024</v>
      </c>
      <c r="B75" s="6">
        <v>22</v>
      </c>
      <c r="C75" s="10">
        <f>'MINIMUM TEM'!I76</f>
        <v>26</v>
      </c>
      <c r="D75" s="11">
        <f>'MAXIMUM TEM'!I76</f>
        <v>30.666666666666668</v>
      </c>
      <c r="E75" s="10">
        <f t="shared" si="1"/>
        <v>4.6666666666666679</v>
      </c>
      <c r="F75" s="7">
        <v>358</v>
      </c>
    </row>
    <row r="76" spans="1:6" x14ac:dyDescent="0.25">
      <c r="A76" s="2">
        <v>2024</v>
      </c>
      <c r="B76" s="6">
        <v>23</v>
      </c>
      <c r="C76" s="10">
        <f>'MINIMUM TEM'!I77</f>
        <v>26.666666666666668</v>
      </c>
      <c r="D76" s="11">
        <f>'MAXIMUM TEM'!I77</f>
        <v>32.333333333333336</v>
      </c>
      <c r="E76" s="10">
        <f t="shared" si="1"/>
        <v>5.6666666666666679</v>
      </c>
      <c r="F76" s="7">
        <v>32.5</v>
      </c>
    </row>
    <row r="77" spans="1:6" x14ac:dyDescent="0.25">
      <c r="A77" s="2">
        <v>2024</v>
      </c>
      <c r="B77" s="6">
        <v>24</v>
      </c>
      <c r="C77" s="10">
        <f>'MINIMUM TEM'!I78</f>
        <v>27.333333333333332</v>
      </c>
      <c r="D77" s="11">
        <f>'MAXIMUM TEM'!I78</f>
        <v>33.333333333333336</v>
      </c>
      <c r="E77" s="10">
        <f t="shared" si="1"/>
        <v>6.0000000000000036</v>
      </c>
      <c r="F77" s="7">
        <v>38</v>
      </c>
    </row>
    <row r="78" spans="1:6" x14ac:dyDescent="0.25">
      <c r="A78" s="2">
        <v>2024</v>
      </c>
      <c r="B78" s="6">
        <v>25</v>
      </c>
      <c r="C78" s="10">
        <f>'MINIMUM TEM'!I79</f>
        <v>27.6</v>
      </c>
      <c r="D78" s="11">
        <f>'MAXIMUM TEM'!I79</f>
        <v>32</v>
      </c>
      <c r="E78" s="10">
        <f t="shared" si="1"/>
        <v>4.3999999999999986</v>
      </c>
      <c r="F78" s="7">
        <v>38</v>
      </c>
    </row>
    <row r="79" spans="1:6" x14ac:dyDescent="0.25">
      <c r="A79" s="2">
        <v>2024</v>
      </c>
      <c r="B79" s="6">
        <v>26</v>
      </c>
      <c r="C79" s="10">
        <f>'MINIMUM TEM'!I80</f>
        <v>27</v>
      </c>
      <c r="D79" s="11">
        <f>'MAXIMUM TEM'!I80</f>
        <v>33.833333333333336</v>
      </c>
      <c r="E79" s="10">
        <f t="shared" si="1"/>
        <v>6.8333333333333357</v>
      </c>
      <c r="F79" s="7">
        <v>35</v>
      </c>
    </row>
    <row r="80" spans="1:6" x14ac:dyDescent="0.25">
      <c r="A80" s="2">
        <v>2024</v>
      </c>
      <c r="B80" s="6">
        <v>27</v>
      </c>
      <c r="C80" s="10">
        <f>'MINIMUM TEM'!I81</f>
        <v>26.666666666666668</v>
      </c>
      <c r="D80" s="11">
        <f>'MAXIMUM TEM'!I81</f>
        <v>33.666666666666664</v>
      </c>
      <c r="E80" s="10">
        <f t="shared" si="1"/>
        <v>6.9999999999999964</v>
      </c>
      <c r="F80" s="7">
        <v>22.5</v>
      </c>
    </row>
    <row r="81" spans="1:6" x14ac:dyDescent="0.25">
      <c r="A81" s="2">
        <v>2024</v>
      </c>
      <c r="B81" s="6">
        <v>28</v>
      </c>
      <c r="C81" s="10">
        <f>'MINIMUM TEM'!I82</f>
        <v>25.666666666666668</v>
      </c>
      <c r="D81" s="11">
        <f>'MAXIMUM TEM'!I82</f>
        <v>33</v>
      </c>
      <c r="E81" s="10">
        <f t="shared" si="1"/>
        <v>7.3333333333333321</v>
      </c>
      <c r="F81" s="7">
        <v>56.5</v>
      </c>
    </row>
    <row r="82" spans="1:6" x14ac:dyDescent="0.25">
      <c r="A82" s="2">
        <v>2024</v>
      </c>
      <c r="B82" s="6">
        <v>29</v>
      </c>
      <c r="C82" s="10">
        <f>'MINIMUM TEM'!I83</f>
        <v>25.833333333333332</v>
      </c>
      <c r="D82" s="11">
        <f>'MAXIMUM TEM'!I83</f>
        <v>35.333333333333336</v>
      </c>
      <c r="E82" s="10">
        <f t="shared" si="1"/>
        <v>9.5000000000000036</v>
      </c>
      <c r="F82" s="7">
        <v>14</v>
      </c>
    </row>
    <row r="83" spans="1:6" x14ac:dyDescent="0.25">
      <c r="A83" s="2">
        <v>2024</v>
      </c>
      <c r="B83" s="6">
        <v>30</v>
      </c>
      <c r="C83" s="10">
        <f>'MINIMUM TEM'!I84</f>
        <v>24</v>
      </c>
      <c r="D83" s="11">
        <f>'MAXIMUM TEM'!I84</f>
        <v>35.666666666666664</v>
      </c>
      <c r="E83" s="10">
        <f t="shared" si="1"/>
        <v>11.666666666666664</v>
      </c>
      <c r="F83" s="7">
        <v>14</v>
      </c>
    </row>
    <row r="84" spans="1:6" x14ac:dyDescent="0.25">
      <c r="A84" s="2">
        <v>2024</v>
      </c>
      <c r="B84" s="6">
        <v>31</v>
      </c>
      <c r="C84" s="10">
        <f>'MINIMUM TEM'!I85</f>
        <v>27.333333333333332</v>
      </c>
      <c r="D84" s="11">
        <f>'MAXIMUM TEM'!I85</f>
        <v>35.166666666666664</v>
      </c>
      <c r="E84" s="10">
        <f t="shared" si="1"/>
        <v>7.8333333333333321</v>
      </c>
      <c r="F84" s="7">
        <v>50</v>
      </c>
    </row>
    <row r="85" spans="1:6" x14ac:dyDescent="0.25">
      <c r="A85" s="2">
        <v>2024</v>
      </c>
      <c r="B85" s="6">
        <v>32</v>
      </c>
      <c r="C85" s="10">
        <f>'MINIMUM TEM'!I86</f>
        <v>32</v>
      </c>
      <c r="D85" s="11">
        <f>'MAXIMUM TEM'!I86</f>
        <v>35.666666666666664</v>
      </c>
      <c r="E85" s="10">
        <f t="shared" si="1"/>
        <v>3.6666666666666643</v>
      </c>
      <c r="F85" s="7">
        <v>0</v>
      </c>
    </row>
    <row r="86" spans="1:6" x14ac:dyDescent="0.25">
      <c r="A86" s="2">
        <v>2024</v>
      </c>
      <c r="B86" s="6">
        <v>33</v>
      </c>
      <c r="C86" s="10">
        <f>'MINIMUM TEM'!I87</f>
        <v>30.333333333333332</v>
      </c>
      <c r="D86" s="11">
        <f>'MAXIMUM TEM'!I87</f>
        <v>34.833333333333336</v>
      </c>
      <c r="E86" s="10">
        <f t="shared" si="1"/>
        <v>4.5000000000000036</v>
      </c>
      <c r="F86" s="7">
        <v>31</v>
      </c>
    </row>
    <row r="87" spans="1:6" x14ac:dyDescent="0.25">
      <c r="A87" s="2">
        <v>2024</v>
      </c>
      <c r="B87" s="6">
        <v>34</v>
      </c>
      <c r="C87" s="10">
        <f>'MINIMUM TEM'!I88</f>
        <v>29.6</v>
      </c>
      <c r="D87" s="11">
        <f>'MAXIMUM TEM'!I88</f>
        <v>35.799999999999997</v>
      </c>
      <c r="E87" s="10">
        <f t="shared" si="1"/>
        <v>6.1999999999999957</v>
      </c>
      <c r="F87" s="7">
        <v>61</v>
      </c>
    </row>
    <row r="88" spans="1:6" x14ac:dyDescent="0.25">
      <c r="A88" s="2">
        <v>2024</v>
      </c>
      <c r="B88" s="6">
        <v>35</v>
      </c>
      <c r="C88" s="10">
        <f>'MINIMUM TEM'!I89</f>
        <v>32.200000000000003</v>
      </c>
      <c r="D88" s="11">
        <f>'MAXIMUM TEM'!I89</f>
        <v>37</v>
      </c>
      <c r="E88" s="10">
        <f t="shared" si="1"/>
        <v>4.7999999999999972</v>
      </c>
      <c r="F88" s="7">
        <v>8.5</v>
      </c>
    </row>
    <row r="89" spans="1:6" x14ac:dyDescent="0.25">
      <c r="A89" s="2">
        <v>2024</v>
      </c>
      <c r="B89" s="6">
        <v>36</v>
      </c>
      <c r="C89" s="10">
        <f>'MINIMUM TEM'!I90</f>
        <v>27.833333333333332</v>
      </c>
      <c r="D89" s="11">
        <f>'MAXIMUM TEM'!I90</f>
        <v>33.666666666666664</v>
      </c>
      <c r="E89" s="10">
        <f t="shared" si="1"/>
        <v>5.8333333333333321</v>
      </c>
      <c r="F89" s="7">
        <v>57.5</v>
      </c>
    </row>
    <row r="90" spans="1:6" x14ac:dyDescent="0.25">
      <c r="A90" s="2">
        <v>2024</v>
      </c>
      <c r="B90" s="6">
        <v>37</v>
      </c>
      <c r="C90" s="10">
        <f>'MINIMUM TEM'!I91</f>
        <v>25.833333333333332</v>
      </c>
      <c r="D90" s="11">
        <f>'MAXIMUM TEM'!I91</f>
        <v>35.333333333333336</v>
      </c>
      <c r="E90" s="10">
        <f t="shared" si="1"/>
        <v>9.5000000000000036</v>
      </c>
      <c r="F90" s="7">
        <v>23.5</v>
      </c>
    </row>
    <row r="91" spans="1:6" x14ac:dyDescent="0.25">
      <c r="A91" s="2">
        <v>2024</v>
      </c>
      <c r="B91" s="6">
        <v>38</v>
      </c>
      <c r="C91" s="10">
        <f>'MINIMUM TEM'!I92</f>
        <v>28.75</v>
      </c>
      <c r="D91" s="11">
        <f>'MAXIMUM TEM'!I92</f>
        <v>34.5</v>
      </c>
      <c r="E91" s="10">
        <f t="shared" si="1"/>
        <v>5.75</v>
      </c>
      <c r="F91" s="7">
        <v>8</v>
      </c>
    </row>
    <row r="92" spans="1:6" x14ac:dyDescent="0.25">
      <c r="A92" s="2">
        <v>2024</v>
      </c>
      <c r="B92" s="6">
        <v>39</v>
      </c>
      <c r="C92" s="10">
        <f>'MINIMUM TEM'!I93</f>
        <v>30.666666666666668</v>
      </c>
      <c r="D92" s="11">
        <f>'MAXIMUM TEM'!I93</f>
        <v>36</v>
      </c>
      <c r="E92" s="10">
        <f t="shared" si="1"/>
        <v>5.3333333333333321</v>
      </c>
      <c r="F92" s="7">
        <v>7</v>
      </c>
    </row>
    <row r="93" spans="1:6" x14ac:dyDescent="0.25">
      <c r="A93" s="2">
        <v>2024</v>
      </c>
      <c r="B93" s="6">
        <v>40</v>
      </c>
      <c r="C93" s="10">
        <f>'MINIMUM TEM'!I94</f>
        <v>26.333333333333332</v>
      </c>
      <c r="D93" s="11">
        <f>'MAXIMUM TEM'!I94</f>
        <v>32.833333333333336</v>
      </c>
      <c r="E93" s="10">
        <f t="shared" si="1"/>
        <v>6.5000000000000036</v>
      </c>
      <c r="F93" s="7">
        <v>41</v>
      </c>
    </row>
    <row r="94" spans="1:6" x14ac:dyDescent="0.25">
      <c r="A94" s="2">
        <v>2024</v>
      </c>
      <c r="B94" s="6">
        <v>41</v>
      </c>
      <c r="C94" s="10">
        <f>'MINIMUM TEM'!I95</f>
        <v>27.166666666666668</v>
      </c>
      <c r="D94" s="11">
        <f>'MAXIMUM TEM'!I95</f>
        <v>33.166666666666664</v>
      </c>
      <c r="E94" s="10">
        <f t="shared" si="1"/>
        <v>5.9999999999999964</v>
      </c>
      <c r="F94" s="7">
        <v>101</v>
      </c>
    </row>
    <row r="95" spans="1:6" x14ac:dyDescent="0.25">
      <c r="A95" s="2">
        <v>2024</v>
      </c>
      <c r="B95" s="6">
        <v>42</v>
      </c>
      <c r="C95" s="10">
        <f>'MINIMUM TEM'!I96</f>
        <v>26.833333333333332</v>
      </c>
      <c r="D95" s="11">
        <f>'MAXIMUM TEM'!I96</f>
        <v>32.166666666666664</v>
      </c>
      <c r="E95" s="10">
        <f t="shared" si="1"/>
        <v>5.3333333333333321</v>
      </c>
      <c r="F95" s="7">
        <v>86</v>
      </c>
    </row>
    <row r="96" spans="1:6" x14ac:dyDescent="0.25">
      <c r="A96" s="2">
        <v>2024</v>
      </c>
      <c r="B96" s="6">
        <v>43</v>
      </c>
      <c r="C96" s="10">
        <f>'MINIMUM TEM'!I97</f>
        <v>30.2</v>
      </c>
      <c r="D96" s="11">
        <f>'MAXIMUM TEM'!I97</f>
        <v>35.166666666666664</v>
      </c>
      <c r="E96" s="10">
        <f t="shared" si="1"/>
        <v>4.966666666666665</v>
      </c>
      <c r="F96" s="7">
        <v>14.5</v>
      </c>
    </row>
    <row r="97" spans="1:6" x14ac:dyDescent="0.25">
      <c r="A97" s="2">
        <v>2024</v>
      </c>
      <c r="B97" s="6">
        <v>44</v>
      </c>
      <c r="C97" s="10">
        <f>'MINIMUM TEM'!I98</f>
        <v>29.166666666666668</v>
      </c>
      <c r="D97" s="11">
        <f>'MAXIMUM TEM'!I98</f>
        <v>34.5</v>
      </c>
      <c r="E97" s="10">
        <f t="shared" si="1"/>
        <v>5.3333333333333321</v>
      </c>
      <c r="F97" s="7">
        <v>60.5</v>
      </c>
    </row>
    <row r="98" spans="1:6" x14ac:dyDescent="0.25">
      <c r="A98" s="2">
        <v>2024</v>
      </c>
      <c r="B98" s="6">
        <v>45</v>
      </c>
      <c r="C98" s="10">
        <f>'MINIMUM TEM'!I99</f>
        <v>26.333333333333332</v>
      </c>
      <c r="D98" s="11">
        <f>'MAXIMUM TEM'!I99</f>
        <v>32.333333333333336</v>
      </c>
      <c r="E98" s="10">
        <f t="shared" si="1"/>
        <v>6.0000000000000036</v>
      </c>
      <c r="F98" s="7">
        <v>181</v>
      </c>
    </row>
    <row r="99" spans="1:6" x14ac:dyDescent="0.25">
      <c r="A99" s="2">
        <v>2024</v>
      </c>
      <c r="B99" s="6">
        <v>46</v>
      </c>
      <c r="C99" s="10">
        <f>'MINIMUM TEM'!I100</f>
        <v>27.8</v>
      </c>
      <c r="D99" s="11">
        <f>'MAXIMUM TEM'!I100</f>
        <v>33.6</v>
      </c>
      <c r="E99" s="10">
        <f t="shared" si="1"/>
        <v>5.8000000000000007</v>
      </c>
      <c r="F99" s="7">
        <v>57</v>
      </c>
    </row>
    <row r="100" spans="1:6" x14ac:dyDescent="0.25">
      <c r="A100" s="2">
        <v>2024</v>
      </c>
      <c r="B100" s="6">
        <v>47</v>
      </c>
      <c r="C100" s="10">
        <f>'MINIMUM TEM'!I101</f>
        <v>28.333333333333332</v>
      </c>
      <c r="D100" s="11">
        <f>'MAXIMUM TEM'!I101</f>
        <v>34.5</v>
      </c>
      <c r="E100" s="10">
        <f t="shared" si="1"/>
        <v>6.1666666666666679</v>
      </c>
      <c r="F100" s="7">
        <v>134.5</v>
      </c>
    </row>
    <row r="101" spans="1:6" x14ac:dyDescent="0.25">
      <c r="A101" s="2">
        <v>2024</v>
      </c>
      <c r="B101" s="6">
        <v>48</v>
      </c>
      <c r="C101" s="10">
        <f>'MINIMUM TEM'!I102</f>
        <v>25.333333333333332</v>
      </c>
      <c r="D101" s="11">
        <f>'MAXIMUM TEM'!I102</f>
        <v>30.333333333333332</v>
      </c>
      <c r="E101" s="10">
        <f t="shared" si="1"/>
        <v>5</v>
      </c>
      <c r="F101" s="7">
        <v>230</v>
      </c>
    </row>
    <row r="102" spans="1:6" x14ac:dyDescent="0.25">
      <c r="A102" s="2">
        <v>2024</v>
      </c>
      <c r="B102" s="6">
        <v>49</v>
      </c>
      <c r="C102" s="10">
        <f>'MINIMUM TEM'!I103</f>
        <v>26.333333333333332</v>
      </c>
      <c r="D102" s="11">
        <f>'MAXIMUM TEM'!I103</f>
        <v>36</v>
      </c>
      <c r="E102" s="10">
        <f t="shared" si="1"/>
        <v>9.6666666666666679</v>
      </c>
      <c r="F102" s="7">
        <v>0.5</v>
      </c>
    </row>
    <row r="103" spans="1:6" x14ac:dyDescent="0.25">
      <c r="A103" s="2">
        <v>2024</v>
      </c>
      <c r="B103" s="6">
        <v>50</v>
      </c>
      <c r="C103" s="10">
        <f>'MINIMUM TEM'!I104</f>
        <v>27.4</v>
      </c>
      <c r="D103" s="11">
        <f>'MAXIMUM TEM'!I104</f>
        <v>35.4</v>
      </c>
      <c r="E103" s="10">
        <f t="shared" si="1"/>
        <v>8</v>
      </c>
      <c r="F103" s="7">
        <v>32.5</v>
      </c>
    </row>
    <row r="104" spans="1:6" x14ac:dyDescent="0.25">
      <c r="A104" s="2">
        <v>2024</v>
      </c>
      <c r="B104" s="6">
        <v>51</v>
      </c>
      <c r="C104" s="10">
        <f>'MINIMUM TEM'!I105</f>
        <v>25</v>
      </c>
      <c r="D104" s="11">
        <f>'MAXIMUM TEM'!I105</f>
        <v>32.333333333333336</v>
      </c>
      <c r="E104" s="10">
        <f t="shared" si="1"/>
        <v>7.3333333333333357</v>
      </c>
      <c r="F104" s="7">
        <v>121</v>
      </c>
    </row>
    <row r="105" spans="1:6" x14ac:dyDescent="0.25">
      <c r="A105" s="2">
        <v>2024</v>
      </c>
      <c r="B105" s="6">
        <v>52</v>
      </c>
      <c r="C105" s="10">
        <f>'MINIMUM TEM'!I106</f>
        <v>24.8</v>
      </c>
      <c r="D105" s="11">
        <f>'MAXIMUM TEM'!I106</f>
        <v>33.6</v>
      </c>
      <c r="E105" s="10">
        <f t="shared" si="1"/>
        <v>8.8000000000000007</v>
      </c>
      <c r="F105" s="7">
        <v>23</v>
      </c>
    </row>
    <row r="106" spans="1:6" x14ac:dyDescent="0.25">
      <c r="A106" s="2">
        <v>2025</v>
      </c>
      <c r="B106" s="6">
        <v>1</v>
      </c>
      <c r="C106" s="10">
        <f>'MINIMUM TEM'!I107</f>
        <v>24.833333333333332</v>
      </c>
      <c r="D106" s="11">
        <f>'MAXIMUM TEM'!I107</f>
        <v>32</v>
      </c>
      <c r="E106" s="10">
        <f t="shared" si="1"/>
        <v>7.1666666666666679</v>
      </c>
      <c r="F106" s="7">
        <v>54</v>
      </c>
    </row>
    <row r="107" spans="1:6" x14ac:dyDescent="0.25">
      <c r="A107" s="2">
        <v>2025</v>
      </c>
      <c r="B107" s="6">
        <v>2</v>
      </c>
      <c r="C107" s="10">
        <f>'MINIMUM TEM'!I108</f>
        <v>27.333333333333332</v>
      </c>
      <c r="D107" s="11">
        <f>'MAXIMUM TEM'!I108</f>
        <v>32.833333333333336</v>
      </c>
      <c r="E107" s="10">
        <f t="shared" si="1"/>
        <v>5.5000000000000036</v>
      </c>
      <c r="F107" s="7">
        <v>0</v>
      </c>
    </row>
    <row r="108" spans="1:6" x14ac:dyDescent="0.25">
      <c r="A108" s="2">
        <v>2025</v>
      </c>
      <c r="B108" s="6">
        <v>3</v>
      </c>
      <c r="C108" s="10">
        <f>'MINIMUM TEM'!I109</f>
        <v>26.5</v>
      </c>
      <c r="D108" s="11">
        <f>'MAXIMUM TEM'!I109</f>
        <v>32.25</v>
      </c>
      <c r="E108" s="10">
        <f t="shared" si="1"/>
        <v>5.75</v>
      </c>
      <c r="F108" s="7">
        <v>74</v>
      </c>
    </row>
    <row r="109" spans="1:6" x14ac:dyDescent="0.25">
      <c r="A109" s="2">
        <v>2025</v>
      </c>
      <c r="B109" s="6">
        <v>4</v>
      </c>
      <c r="C109" s="10">
        <f>'MINIMUM TEM'!I110</f>
        <v>26.166666666666668</v>
      </c>
      <c r="D109" s="11">
        <f>'MAXIMUM TEM'!I110</f>
        <v>31.5</v>
      </c>
      <c r="E109" s="10">
        <f t="shared" si="1"/>
        <v>5.3333333333333321</v>
      </c>
      <c r="F109" s="7">
        <v>90.5</v>
      </c>
    </row>
    <row r="110" spans="1:6" x14ac:dyDescent="0.25">
      <c r="A110" s="2">
        <v>2025</v>
      </c>
      <c r="B110" s="6">
        <v>5</v>
      </c>
      <c r="C110" s="10">
        <f>'MINIMUM TEM'!I111</f>
        <v>26.333333333333332</v>
      </c>
      <c r="D110" s="11">
        <f>'MAXIMUM TEM'!I111</f>
        <v>32.833333333333336</v>
      </c>
      <c r="E110" s="10">
        <f t="shared" si="1"/>
        <v>6.5000000000000036</v>
      </c>
      <c r="F110" s="7">
        <v>27</v>
      </c>
    </row>
    <row r="111" spans="1:6" x14ac:dyDescent="0.25">
      <c r="A111" s="2">
        <v>2025</v>
      </c>
      <c r="B111" s="6">
        <v>6</v>
      </c>
      <c r="C111" s="10">
        <f>'MINIMUM TEM'!I112</f>
        <v>21.8</v>
      </c>
      <c r="D111" s="11">
        <f>'MAXIMUM TEM'!I112</f>
        <v>34.200000000000003</v>
      </c>
      <c r="E111" s="10">
        <f t="shared" si="1"/>
        <v>12.400000000000002</v>
      </c>
      <c r="F111" s="7">
        <v>0</v>
      </c>
    </row>
    <row r="112" spans="1:6" x14ac:dyDescent="0.25">
      <c r="A112" s="2">
        <v>2025</v>
      </c>
      <c r="B112" s="6">
        <v>7</v>
      </c>
      <c r="C112" s="10">
        <f>'MINIMUM TEM'!I113</f>
        <v>22.333333333333332</v>
      </c>
      <c r="D112" s="11">
        <f>'MAXIMUM TEM'!I113</f>
        <v>34</v>
      </c>
      <c r="E112" s="10">
        <f t="shared" si="1"/>
        <v>11.666666666666668</v>
      </c>
      <c r="F112" s="7">
        <v>0</v>
      </c>
    </row>
    <row r="113" spans="1:6" x14ac:dyDescent="0.25">
      <c r="A113" s="2">
        <v>2025</v>
      </c>
      <c r="B113" s="6">
        <v>8</v>
      </c>
      <c r="C113" s="10">
        <f>'MINIMUM TEM'!I114</f>
        <v>20.666666666666668</v>
      </c>
      <c r="D113" s="11">
        <f>'MAXIMUM TEM'!I114</f>
        <v>34.833333333333336</v>
      </c>
      <c r="E113" s="10">
        <f t="shared" si="1"/>
        <v>14.166666666666668</v>
      </c>
      <c r="F113" s="7">
        <v>0</v>
      </c>
    </row>
    <row r="114" spans="1:6" x14ac:dyDescent="0.25">
      <c r="A114" s="2">
        <v>2025</v>
      </c>
      <c r="B114" s="6">
        <v>9</v>
      </c>
      <c r="C114" s="10">
        <f>'MINIMUM TEM'!I115</f>
        <v>23.833333333333332</v>
      </c>
      <c r="D114" s="11">
        <f>'MAXIMUM TEM'!I115</f>
        <v>35.333333333333336</v>
      </c>
      <c r="E114" s="10">
        <f t="shared" si="1"/>
        <v>11.500000000000004</v>
      </c>
      <c r="F114" s="7">
        <v>0</v>
      </c>
    </row>
    <row r="115" spans="1:6" x14ac:dyDescent="0.25">
      <c r="A115" s="2">
        <v>2025</v>
      </c>
      <c r="B115" s="6">
        <v>10</v>
      </c>
      <c r="C115" s="10">
        <f>'MINIMUM TEM'!I116</f>
        <v>21.833333333333332</v>
      </c>
      <c r="D115" s="11">
        <f>'MAXIMUM TEM'!I116</f>
        <v>35.333333333333336</v>
      </c>
      <c r="E115" s="10">
        <f t="shared" si="1"/>
        <v>13.500000000000004</v>
      </c>
      <c r="F115" s="7">
        <v>72</v>
      </c>
    </row>
    <row r="116" spans="1:6" x14ac:dyDescent="0.25">
      <c r="A116" s="2">
        <v>2025</v>
      </c>
      <c r="B116" s="6">
        <v>11</v>
      </c>
      <c r="C116" s="10">
        <f>'MINIMUM TEM'!I117</f>
        <v>26.333333333333332</v>
      </c>
      <c r="D116" s="11">
        <f>'MAXIMUM TEM'!I117</f>
        <v>33</v>
      </c>
      <c r="E116" s="10">
        <f t="shared" si="1"/>
        <v>6.6666666666666679</v>
      </c>
      <c r="F116" s="7">
        <v>0</v>
      </c>
    </row>
    <row r="117" spans="1:6" x14ac:dyDescent="0.25">
      <c r="A117" s="2">
        <v>2025</v>
      </c>
      <c r="B117" s="6">
        <v>12</v>
      </c>
      <c r="C117" s="10">
        <f>'MINIMUM TEM'!I118</f>
        <v>25.5</v>
      </c>
      <c r="D117" s="11">
        <f>'MAXIMUM TEM'!I118</f>
        <v>36.833333333333336</v>
      </c>
      <c r="E117" s="10">
        <f t="shared" si="1"/>
        <v>11.333333333333336</v>
      </c>
      <c r="F117" s="7">
        <v>36.5</v>
      </c>
    </row>
    <row r="118" spans="1:6" x14ac:dyDescent="0.25">
      <c r="A118" s="2">
        <v>2025</v>
      </c>
      <c r="B118" s="6">
        <v>13</v>
      </c>
      <c r="C118" s="10">
        <f>'MINIMUM TEM'!I119</f>
        <v>22.833333333333332</v>
      </c>
      <c r="D118" s="11">
        <f>'MAXIMUM TEM'!I119</f>
        <v>35.5</v>
      </c>
      <c r="E118" s="10">
        <f t="shared" si="1"/>
        <v>12.666666666666668</v>
      </c>
      <c r="F118" s="7">
        <v>27.5</v>
      </c>
    </row>
    <row r="119" spans="1:6" x14ac:dyDescent="0.25">
      <c r="A119" s="2">
        <v>2025</v>
      </c>
      <c r="B119" s="6">
        <v>14</v>
      </c>
      <c r="C119" s="10">
        <f>'MINIMUM TEM'!I120</f>
        <v>23.6</v>
      </c>
      <c r="D119" s="11">
        <f>'MAXIMUM TEM'!I120</f>
        <v>34</v>
      </c>
      <c r="E119" s="10">
        <f t="shared" si="1"/>
        <v>10.399999999999999</v>
      </c>
      <c r="F119" s="7">
        <v>27</v>
      </c>
    </row>
    <row r="120" spans="1:6" x14ac:dyDescent="0.25">
      <c r="A120" s="2">
        <v>2025</v>
      </c>
      <c r="B120" s="6">
        <v>15</v>
      </c>
      <c r="C120" s="10">
        <f>'MINIMUM TEM'!I121</f>
        <v>22.25</v>
      </c>
      <c r="D120" s="11">
        <f>'MAXIMUM TEM'!I121</f>
        <v>34.25</v>
      </c>
      <c r="E120" s="10">
        <f t="shared" si="1"/>
        <v>12</v>
      </c>
      <c r="F120" s="7">
        <v>75</v>
      </c>
    </row>
    <row r="121" spans="1:6" x14ac:dyDescent="0.25">
      <c r="A121" s="2">
        <v>2025</v>
      </c>
      <c r="B121" s="6">
        <v>16</v>
      </c>
      <c r="C121" s="10">
        <f>'MINIMUM TEM'!I122</f>
        <v>23.75</v>
      </c>
      <c r="D121" s="11">
        <f>'MAXIMUM TEM'!I122</f>
        <v>33.5</v>
      </c>
      <c r="E121" s="10">
        <f t="shared" si="1"/>
        <v>9.75</v>
      </c>
      <c r="F121" s="7">
        <v>0</v>
      </c>
    </row>
    <row r="122" spans="1:6" x14ac:dyDescent="0.25">
      <c r="A122" s="2">
        <v>2025</v>
      </c>
      <c r="B122" s="6">
        <v>17</v>
      </c>
      <c r="C122" s="10">
        <f>'MINIMUM TEM'!I123</f>
        <v>27.833333333333332</v>
      </c>
      <c r="D122" s="11">
        <f>'MAXIMUM TEM'!I123</f>
        <v>33.666666666666664</v>
      </c>
      <c r="E122" s="10">
        <f t="shared" si="1"/>
        <v>5.8333333333333321</v>
      </c>
      <c r="F122" s="7">
        <v>3</v>
      </c>
    </row>
    <row r="123" spans="1:6" x14ac:dyDescent="0.25">
      <c r="A123" s="2">
        <v>2025</v>
      </c>
      <c r="B123" s="6">
        <v>18</v>
      </c>
      <c r="C123" s="10">
        <f>'MINIMUM TEM'!I124</f>
        <v>25</v>
      </c>
      <c r="D123" s="11">
        <f>'MAXIMUM TEM'!I124</f>
        <v>32.200000000000003</v>
      </c>
      <c r="E123" s="10">
        <f t="shared" si="1"/>
        <v>7.2000000000000028</v>
      </c>
      <c r="F123" s="7">
        <v>105</v>
      </c>
    </row>
    <row r="124" spans="1:6" x14ac:dyDescent="0.25">
      <c r="A124" s="2">
        <v>2025</v>
      </c>
      <c r="B124" s="6">
        <v>19</v>
      </c>
      <c r="C124" s="10">
        <f>'MINIMUM TEM'!I125</f>
        <v>27.166666666666668</v>
      </c>
      <c r="D124" s="11">
        <f>'MAXIMUM TEM'!I125</f>
        <v>34.333333333333336</v>
      </c>
      <c r="E124" s="10">
        <f t="shared" si="1"/>
        <v>7.1666666666666679</v>
      </c>
      <c r="F124" s="7">
        <v>8</v>
      </c>
    </row>
    <row r="125" spans="1:6" x14ac:dyDescent="0.25">
      <c r="A125" s="2">
        <v>2025</v>
      </c>
      <c r="B125" s="6">
        <v>20</v>
      </c>
      <c r="C125" s="10">
        <f>'MINIMUM TEM'!I126</f>
        <v>24.5</v>
      </c>
      <c r="D125" s="11">
        <f>'MAXIMUM TEM'!I126</f>
        <v>31.833333333333332</v>
      </c>
      <c r="E125" s="10">
        <f t="shared" si="1"/>
        <v>7.3333333333333321</v>
      </c>
      <c r="F125" s="7">
        <v>0</v>
      </c>
    </row>
    <row r="126" spans="1:6" x14ac:dyDescent="0.25">
      <c r="A126" s="2">
        <v>2025</v>
      </c>
      <c r="B126" s="6">
        <v>21</v>
      </c>
      <c r="C126" s="10">
        <f>'MINIMUM TEM'!I127</f>
        <v>26</v>
      </c>
      <c r="D126" s="11">
        <f>'MAXIMUM TEM'!I127</f>
        <v>31.166666666666668</v>
      </c>
      <c r="E126" s="10">
        <f t="shared" si="1"/>
        <v>5.1666666666666679</v>
      </c>
      <c r="F126" s="7">
        <v>131</v>
      </c>
    </row>
    <row r="127" spans="1:6" x14ac:dyDescent="0.25">
      <c r="A127" s="2">
        <v>2025</v>
      </c>
      <c r="B127" s="6">
        <v>22</v>
      </c>
      <c r="C127" s="10">
        <f>'MINIMUM TEM'!I128</f>
        <v>25.5</v>
      </c>
      <c r="D127" s="11">
        <f>'MAXIMUM TEM'!I128</f>
        <v>31.666666666666668</v>
      </c>
      <c r="E127" s="10">
        <f t="shared" si="1"/>
        <v>6.1666666666666679</v>
      </c>
      <c r="F127" s="7">
        <v>78</v>
      </c>
    </row>
    <row r="128" spans="1:6" x14ac:dyDescent="0.25">
      <c r="A128" s="2">
        <v>2025</v>
      </c>
      <c r="B128" s="6">
        <v>23</v>
      </c>
      <c r="C128" s="10">
        <f>'MINIMUM TEM'!I129</f>
        <v>24.333333333333332</v>
      </c>
      <c r="D128" s="11">
        <f>'MAXIMUM TEM'!I129</f>
        <v>31.666666666666668</v>
      </c>
      <c r="E128" s="10">
        <f t="shared" si="1"/>
        <v>7.3333333333333357</v>
      </c>
      <c r="F128" s="7">
        <v>22</v>
      </c>
    </row>
    <row r="129" spans="1:6" x14ac:dyDescent="0.25">
      <c r="A129" s="2">
        <v>2025</v>
      </c>
      <c r="B129" s="6">
        <v>24</v>
      </c>
      <c r="C129" s="10">
        <f>'MINIMUM TEM'!I130</f>
        <v>26</v>
      </c>
      <c r="D129" s="11">
        <f>'MAXIMUM TEM'!I130</f>
        <v>32</v>
      </c>
      <c r="E129" s="10">
        <f t="shared" si="1"/>
        <v>6</v>
      </c>
      <c r="F129" s="7">
        <v>56</v>
      </c>
    </row>
    <row r="130" spans="1:6" x14ac:dyDescent="0.25">
      <c r="A130" s="2">
        <v>2025</v>
      </c>
      <c r="B130" s="6">
        <v>25</v>
      </c>
      <c r="C130" s="10">
        <f>'MINIMUM TEM'!I131</f>
        <v>25</v>
      </c>
      <c r="D130" s="11">
        <f>'MAXIMUM TEM'!I131</f>
        <v>31.5</v>
      </c>
      <c r="E130" s="10">
        <f t="shared" si="1"/>
        <v>6.5</v>
      </c>
      <c r="F130" s="7">
        <v>75</v>
      </c>
    </row>
    <row r="131" spans="1:6" x14ac:dyDescent="0.25">
      <c r="A131" s="2">
        <v>2025</v>
      </c>
      <c r="B131" s="6">
        <v>26</v>
      </c>
      <c r="C131" s="10">
        <f>'MINIMUM TEM'!I132</f>
        <v>26.5</v>
      </c>
      <c r="D131" s="11">
        <f>'MAXIMUM TEM'!I132</f>
        <v>32.833333333333336</v>
      </c>
      <c r="E131" s="10">
        <f t="shared" ref="E131:E157" si="2">D131-C131</f>
        <v>6.3333333333333357</v>
      </c>
      <c r="F131" s="7">
        <v>34</v>
      </c>
    </row>
    <row r="132" spans="1:6" x14ac:dyDescent="0.25">
      <c r="A132" s="2">
        <v>2025</v>
      </c>
      <c r="B132" s="6">
        <v>27</v>
      </c>
      <c r="C132" s="10">
        <f>'MINIMUM TEM'!I133</f>
        <v>26.333333333333332</v>
      </c>
      <c r="D132" s="11">
        <f>'MAXIMUM TEM'!I133</f>
        <v>33.333333333333336</v>
      </c>
      <c r="E132" s="10">
        <f t="shared" si="2"/>
        <v>7.0000000000000036</v>
      </c>
      <c r="F132" s="7">
        <v>0</v>
      </c>
    </row>
    <row r="133" spans="1:6" x14ac:dyDescent="0.25">
      <c r="A133" s="2">
        <v>2025</v>
      </c>
      <c r="B133" s="6">
        <v>28</v>
      </c>
      <c r="C133" s="10">
        <f>'MINIMUM TEM'!I134</f>
        <v>26</v>
      </c>
      <c r="D133" s="11">
        <f>'MAXIMUM TEM'!I134</f>
        <v>32.200000000000003</v>
      </c>
      <c r="E133" s="10">
        <f t="shared" si="2"/>
        <v>6.2000000000000028</v>
      </c>
      <c r="F133" s="7">
        <v>0</v>
      </c>
    </row>
    <row r="134" spans="1:6" x14ac:dyDescent="0.25">
      <c r="A134" s="2">
        <v>2025</v>
      </c>
      <c r="B134" s="6">
        <v>29</v>
      </c>
      <c r="C134" s="10">
        <f>'MINIMUM TEM'!I135</f>
        <v>27.166666666666668</v>
      </c>
      <c r="D134" s="11">
        <f>'MAXIMUM TEM'!I135</f>
        <v>34.166666666666664</v>
      </c>
      <c r="E134" s="10">
        <f t="shared" si="2"/>
        <v>6.9999999999999964</v>
      </c>
      <c r="F134" s="7">
        <v>0</v>
      </c>
    </row>
    <row r="135" spans="1:6" x14ac:dyDescent="0.25">
      <c r="A135" s="2">
        <v>2025</v>
      </c>
      <c r="B135" s="6">
        <v>30</v>
      </c>
      <c r="C135" s="10">
        <f>'MINIMUM TEM'!I136</f>
        <v>27.166666666666668</v>
      </c>
      <c r="D135" s="11">
        <f>'MAXIMUM TEM'!I136</f>
        <v>32.5</v>
      </c>
      <c r="E135" s="10">
        <f t="shared" si="2"/>
        <v>5.3333333333333321</v>
      </c>
      <c r="F135" s="7">
        <v>58</v>
      </c>
    </row>
    <row r="136" spans="1:6" x14ac:dyDescent="0.25">
      <c r="A136" s="2">
        <v>2025</v>
      </c>
      <c r="B136" s="6">
        <v>31</v>
      </c>
      <c r="C136" s="10">
        <f>'MINIMUM TEM'!I137</f>
        <v>25.5</v>
      </c>
      <c r="D136" s="11">
        <f>'MAXIMUM TEM'!I137</f>
        <v>33.166666666666664</v>
      </c>
      <c r="E136" s="10">
        <f t="shared" si="2"/>
        <v>7.6666666666666643</v>
      </c>
      <c r="F136" s="7">
        <v>0</v>
      </c>
    </row>
    <row r="137" spans="1:6" x14ac:dyDescent="0.25">
      <c r="A137" s="2">
        <v>2025</v>
      </c>
      <c r="B137" s="6">
        <v>32</v>
      </c>
      <c r="C137" s="10">
        <f>'MINIMUM TEM'!I138</f>
        <v>26</v>
      </c>
      <c r="D137" s="11">
        <f>'MAXIMUM TEM'!I138</f>
        <v>32.799999999999997</v>
      </c>
      <c r="E137" s="10">
        <f t="shared" si="2"/>
        <v>6.7999999999999972</v>
      </c>
      <c r="F137" s="7">
        <v>43</v>
      </c>
    </row>
    <row r="138" spans="1:6" x14ac:dyDescent="0.25">
      <c r="A138" s="2">
        <v>2025</v>
      </c>
      <c r="B138" s="6">
        <v>33</v>
      </c>
      <c r="C138" s="10">
        <f>'MINIMUM TEM'!I139</f>
        <v>25.666666666666668</v>
      </c>
      <c r="D138" s="11">
        <f>'MAXIMUM TEM'!I139</f>
        <v>31.333333333333332</v>
      </c>
      <c r="E138" s="10">
        <f t="shared" si="2"/>
        <v>5.6666666666666643</v>
      </c>
      <c r="F138" s="7">
        <v>13</v>
      </c>
    </row>
    <row r="139" spans="1:6" x14ac:dyDescent="0.25">
      <c r="A139" s="2">
        <v>2025</v>
      </c>
      <c r="B139" s="6">
        <v>34</v>
      </c>
      <c r="C139" s="10">
        <f>'MINIMUM TEM'!I140</f>
        <v>27.333333333333332</v>
      </c>
      <c r="D139" s="11">
        <f>'MAXIMUM TEM'!I140</f>
        <v>33.166666666666664</v>
      </c>
      <c r="E139" s="10">
        <f t="shared" si="2"/>
        <v>5.8333333333333321</v>
      </c>
      <c r="F139" s="7">
        <v>0</v>
      </c>
    </row>
    <row r="140" spans="1:6" x14ac:dyDescent="0.25">
      <c r="A140" s="2">
        <v>2025</v>
      </c>
      <c r="B140" s="6">
        <v>35</v>
      </c>
      <c r="C140" s="10">
        <f>'MINIMUM TEM'!I141</f>
        <v>27.833333333333332</v>
      </c>
      <c r="D140" s="11">
        <f>'MAXIMUM TEM'!I141</f>
        <v>35.333333333333336</v>
      </c>
      <c r="E140" s="10">
        <f t="shared" si="2"/>
        <v>7.5000000000000036</v>
      </c>
      <c r="F140" s="7">
        <v>3</v>
      </c>
    </row>
    <row r="141" spans="1:6" x14ac:dyDescent="0.25">
      <c r="A141" s="2">
        <v>2025</v>
      </c>
      <c r="B141" s="6">
        <v>36</v>
      </c>
      <c r="C141" s="10">
        <f>'MINIMUM TEM'!I142</f>
        <v>28.2</v>
      </c>
      <c r="D141" s="11">
        <f>'MAXIMUM TEM'!I142</f>
        <v>32.6</v>
      </c>
      <c r="E141" s="10">
        <f t="shared" si="2"/>
        <v>4.4000000000000021</v>
      </c>
      <c r="F141" s="7">
        <v>0</v>
      </c>
    </row>
    <row r="142" spans="1:6" x14ac:dyDescent="0.25">
      <c r="A142" s="2">
        <v>2025</v>
      </c>
      <c r="B142" s="6">
        <v>37</v>
      </c>
      <c r="C142" s="10">
        <f>'MINIMUM TEM'!I143</f>
        <v>27.833333333333332</v>
      </c>
      <c r="D142" s="11">
        <f>'MAXIMUM TEM'!I143</f>
        <v>32.5</v>
      </c>
      <c r="E142" s="10">
        <f t="shared" si="2"/>
        <v>4.6666666666666679</v>
      </c>
      <c r="F142" s="7">
        <v>60</v>
      </c>
    </row>
    <row r="143" spans="1:6" x14ac:dyDescent="0.25">
      <c r="A143" s="2">
        <v>2025</v>
      </c>
      <c r="B143" s="6">
        <v>38</v>
      </c>
      <c r="C143" s="10">
        <f>'MINIMUM TEM'!I144</f>
        <v>26</v>
      </c>
      <c r="D143" s="11">
        <f>'MAXIMUM TEM'!I144</f>
        <v>31.666666666666668</v>
      </c>
      <c r="E143" s="10">
        <f t="shared" si="2"/>
        <v>5.6666666666666679</v>
      </c>
      <c r="F143" s="7">
        <v>27</v>
      </c>
    </row>
    <row r="144" spans="1:6" x14ac:dyDescent="0.25">
      <c r="A144" s="2">
        <v>2025</v>
      </c>
      <c r="B144" s="6">
        <v>39</v>
      </c>
      <c r="C144" s="10">
        <f>'MINIMUM TEM'!I145</f>
        <v>27.333333333333332</v>
      </c>
      <c r="D144" s="11">
        <f>'MAXIMUM TEM'!I145</f>
        <v>32.833333333333336</v>
      </c>
      <c r="E144" s="10">
        <f t="shared" si="2"/>
        <v>5.5000000000000036</v>
      </c>
      <c r="F144" s="7">
        <v>0</v>
      </c>
    </row>
    <row r="145" spans="1:6" x14ac:dyDescent="0.25">
      <c r="A145" s="2">
        <v>2025</v>
      </c>
      <c r="B145" s="6">
        <v>40</v>
      </c>
      <c r="C145" s="10">
        <f>'MINIMUM TEM'!I146</f>
        <v>27.333333333333332</v>
      </c>
      <c r="D145" s="11">
        <f>'MAXIMUM TEM'!I146</f>
        <v>30.666666666666668</v>
      </c>
      <c r="E145" s="10">
        <f t="shared" si="2"/>
        <v>3.3333333333333357</v>
      </c>
      <c r="F145" s="7">
        <v>0</v>
      </c>
    </row>
    <row r="146" spans="1:6" x14ac:dyDescent="0.25">
      <c r="A146" s="2">
        <v>2025</v>
      </c>
      <c r="B146" s="6">
        <v>41</v>
      </c>
      <c r="C146" s="10">
        <f>'MINIMUM TEM'!I147</f>
        <v>28.4</v>
      </c>
      <c r="D146" s="11">
        <f>'MAXIMUM TEM'!I147</f>
        <v>35</v>
      </c>
      <c r="E146" s="10">
        <f t="shared" si="2"/>
        <v>6.6000000000000014</v>
      </c>
      <c r="F146" s="7">
        <v>0</v>
      </c>
    </row>
    <row r="147" spans="1:6" x14ac:dyDescent="0.25">
      <c r="A147" s="2">
        <v>2025</v>
      </c>
      <c r="B147" s="6">
        <v>42</v>
      </c>
      <c r="C147" s="10">
        <f>'MINIMUM TEM'!I148</f>
        <v>28</v>
      </c>
      <c r="D147" s="11">
        <f>'MAXIMUM TEM'!I148</f>
        <v>34.666666666666664</v>
      </c>
      <c r="E147" s="10">
        <f t="shared" si="2"/>
        <v>6.6666666666666643</v>
      </c>
      <c r="F147" s="7">
        <v>389</v>
      </c>
    </row>
    <row r="148" spans="1:6" x14ac:dyDescent="0.25">
      <c r="A148" s="2">
        <v>2025</v>
      </c>
      <c r="B148" s="6">
        <v>43</v>
      </c>
      <c r="C148" s="10">
        <f>'MINIMUM TEM'!I149</f>
        <v>25.5</v>
      </c>
      <c r="D148" s="11">
        <f>'MAXIMUM TEM'!I149</f>
        <v>32.5</v>
      </c>
      <c r="E148" s="10">
        <f t="shared" si="2"/>
        <v>7</v>
      </c>
      <c r="F148" s="7">
        <v>247</v>
      </c>
    </row>
    <row r="149" spans="1:6" x14ac:dyDescent="0.25">
      <c r="A149" s="2">
        <v>2025</v>
      </c>
      <c r="B149" s="6">
        <v>44</v>
      </c>
      <c r="C149" s="10">
        <f>'MINIMUM TEM'!I150</f>
        <v>26.6</v>
      </c>
      <c r="D149" s="11">
        <f>'MAXIMUM TEM'!I150</f>
        <v>31.6</v>
      </c>
      <c r="E149" s="10">
        <f t="shared" si="2"/>
        <v>5</v>
      </c>
      <c r="F149" s="7">
        <v>3</v>
      </c>
    </row>
    <row r="150" spans="1:6" x14ac:dyDescent="0.25">
      <c r="A150" s="2">
        <v>2025</v>
      </c>
      <c r="B150" s="6">
        <v>45</v>
      </c>
      <c r="C150" s="10">
        <f>'MINIMUM TEM'!I151</f>
        <v>24</v>
      </c>
      <c r="D150" s="11">
        <f>'MAXIMUM TEM'!I151</f>
        <v>32.4</v>
      </c>
      <c r="E150" s="10">
        <f t="shared" si="2"/>
        <v>8.3999999999999986</v>
      </c>
      <c r="F150" s="7">
        <v>31</v>
      </c>
    </row>
    <row r="151" spans="1:6" x14ac:dyDescent="0.25">
      <c r="A151" s="2">
        <v>2025</v>
      </c>
      <c r="B151" s="6">
        <v>46</v>
      </c>
      <c r="C151" s="10">
        <f>'MINIMUM TEM'!I152</f>
        <v>27.5</v>
      </c>
      <c r="D151" s="11">
        <f>'MAXIMUM TEM'!I152</f>
        <v>32.333333333333336</v>
      </c>
      <c r="E151" s="10">
        <f t="shared" si="2"/>
        <v>4.8333333333333357</v>
      </c>
      <c r="F151" s="7">
        <v>36</v>
      </c>
    </row>
    <row r="152" spans="1:6" x14ac:dyDescent="0.25">
      <c r="A152" s="2">
        <v>2025</v>
      </c>
      <c r="B152" s="6">
        <v>47</v>
      </c>
      <c r="C152" s="10">
        <f>'MINIMUM TEM'!I153</f>
        <v>26</v>
      </c>
      <c r="D152" s="11">
        <f>'MAXIMUM TEM'!I153</f>
        <v>32</v>
      </c>
      <c r="E152" s="10">
        <f t="shared" si="2"/>
        <v>6</v>
      </c>
      <c r="F152" s="7">
        <v>112</v>
      </c>
    </row>
    <row r="153" spans="1:6" x14ac:dyDescent="0.25">
      <c r="A153" s="2">
        <v>2025</v>
      </c>
      <c r="B153" s="6">
        <v>48</v>
      </c>
      <c r="C153" s="10">
        <f>'MINIMUM TEM'!I154</f>
        <v>21.333333333333332</v>
      </c>
      <c r="D153" s="11">
        <f>'MAXIMUM TEM'!I154</f>
        <v>26.666666666666668</v>
      </c>
      <c r="E153" s="10">
        <f t="shared" si="2"/>
        <v>5.3333333333333357</v>
      </c>
      <c r="F153" s="7">
        <v>530</v>
      </c>
    </row>
    <row r="154" spans="1:6" x14ac:dyDescent="0.25">
      <c r="A154" s="2">
        <v>2025</v>
      </c>
      <c r="B154" s="6">
        <v>49</v>
      </c>
      <c r="C154" s="10">
        <f>'MINIMUM TEM'!I155</f>
        <v>25.5</v>
      </c>
      <c r="D154" s="11">
        <f>'MAXIMUM TEM'!I155</f>
        <v>33.666666666666664</v>
      </c>
      <c r="E154" s="10">
        <f t="shared" si="2"/>
        <v>8.1666666666666643</v>
      </c>
      <c r="F154" s="7">
        <v>0</v>
      </c>
    </row>
    <row r="155" spans="1:6" x14ac:dyDescent="0.25">
      <c r="A155" s="2">
        <v>2025</v>
      </c>
      <c r="B155" s="6">
        <v>50</v>
      </c>
      <c r="C155" s="10">
        <f>'MINIMUM TEM'!I156</f>
        <v>25.4</v>
      </c>
      <c r="D155" s="11">
        <f>'MAXIMUM TEM'!I156</f>
        <v>34.75</v>
      </c>
      <c r="E155" s="10">
        <f t="shared" si="2"/>
        <v>9.3500000000000014</v>
      </c>
      <c r="F155" s="7">
        <v>15</v>
      </c>
    </row>
    <row r="156" spans="1:6" x14ac:dyDescent="0.25">
      <c r="A156" s="2">
        <v>2025</v>
      </c>
      <c r="B156" s="6">
        <v>51</v>
      </c>
      <c r="C156" s="10">
        <f>'MINIMUM TEM'!I157</f>
        <v>22</v>
      </c>
      <c r="D156" s="11">
        <f>'MAXIMUM TEM'!I157</f>
        <v>32</v>
      </c>
      <c r="E156" s="10">
        <f t="shared" si="2"/>
        <v>10</v>
      </c>
      <c r="F156" s="7">
        <v>20</v>
      </c>
    </row>
    <row r="157" spans="1:6" x14ac:dyDescent="0.25">
      <c r="A157" s="2">
        <v>2025</v>
      </c>
      <c r="B157" s="6">
        <v>52</v>
      </c>
      <c r="C157" s="10">
        <f>'MINIMUM TEM'!I158</f>
        <v>22.8</v>
      </c>
      <c r="D157" s="11">
        <f>'MAXIMUM TEM'!I158</f>
        <v>33</v>
      </c>
      <c r="E157" s="10">
        <f t="shared" si="2"/>
        <v>10.199999999999999</v>
      </c>
      <c r="F157" s="7">
        <v>0</v>
      </c>
    </row>
    <row r="158" spans="1:6" x14ac:dyDescent="0.25">
      <c r="A158" s="22">
        <v>2026</v>
      </c>
      <c r="B158" s="22">
        <v>1</v>
      </c>
      <c r="C158" s="26">
        <v>23.5</v>
      </c>
      <c r="D158" s="26">
        <v>30.5</v>
      </c>
      <c r="E158" s="26">
        <f>D158-C158</f>
        <v>7</v>
      </c>
      <c r="F158" s="3">
        <v>10</v>
      </c>
    </row>
    <row r="159" spans="1:6" x14ac:dyDescent="0.25">
      <c r="A159" s="22">
        <v>2026</v>
      </c>
      <c r="B159" s="22">
        <v>2</v>
      </c>
      <c r="C159" s="26">
        <v>28.6</v>
      </c>
      <c r="D159" s="26">
        <v>32.4</v>
      </c>
      <c r="E159" s="26">
        <f t="shared" ref="E159:E196" si="3">D159-C159</f>
        <v>3.7999999999999972</v>
      </c>
      <c r="F159" s="3">
        <v>23</v>
      </c>
    </row>
    <row r="160" spans="1:6" x14ac:dyDescent="0.25">
      <c r="A160" s="22">
        <v>2026</v>
      </c>
      <c r="B160" s="22">
        <v>3</v>
      </c>
      <c r="C160" s="26">
        <v>23.333333333333332</v>
      </c>
      <c r="D160" s="26">
        <v>32.666666666666664</v>
      </c>
      <c r="E160" s="26">
        <f t="shared" si="3"/>
        <v>9.3333333333333321</v>
      </c>
      <c r="F160" s="3">
        <v>0</v>
      </c>
    </row>
    <row r="161" spans="1:6" x14ac:dyDescent="0.25">
      <c r="A161" s="22">
        <v>2026</v>
      </c>
      <c r="B161" s="22">
        <v>4</v>
      </c>
      <c r="C161" s="26">
        <v>23</v>
      </c>
      <c r="D161" s="26">
        <v>32.5</v>
      </c>
      <c r="E161" s="26">
        <f t="shared" si="3"/>
        <v>9.5</v>
      </c>
      <c r="F161" s="3">
        <v>0</v>
      </c>
    </row>
    <row r="162" spans="1:6" x14ac:dyDescent="0.25">
      <c r="A162" s="22">
        <v>2026</v>
      </c>
      <c r="B162" s="22">
        <v>5</v>
      </c>
      <c r="C162" s="26">
        <v>24.2</v>
      </c>
      <c r="D162" s="26">
        <v>32.200000000000003</v>
      </c>
      <c r="E162" s="26">
        <f t="shared" si="3"/>
        <v>8.0000000000000036</v>
      </c>
      <c r="F162" s="3">
        <v>0</v>
      </c>
    </row>
    <row r="163" spans="1:6" x14ac:dyDescent="0.25">
      <c r="A163" s="22">
        <v>2026</v>
      </c>
      <c r="B163" s="22">
        <v>6</v>
      </c>
      <c r="C163" s="26">
        <v>25.333333333333332</v>
      </c>
      <c r="D163" s="26">
        <v>32.5</v>
      </c>
      <c r="E163" s="26">
        <f t="shared" si="3"/>
        <v>7.1666666666666679</v>
      </c>
      <c r="F163" s="3">
        <v>0</v>
      </c>
    </row>
    <row r="164" spans="1:6" x14ac:dyDescent="0.25">
      <c r="A164" s="22">
        <v>2026</v>
      </c>
      <c r="B164" s="22">
        <v>7</v>
      </c>
      <c r="C164" s="26">
        <v>24</v>
      </c>
      <c r="D164" s="26">
        <v>31.333333333333332</v>
      </c>
      <c r="E164" s="26">
        <f t="shared" si="3"/>
        <v>7.3333333333333321</v>
      </c>
      <c r="F164" s="3">
        <v>0</v>
      </c>
    </row>
    <row r="165" spans="1:6" x14ac:dyDescent="0.25">
      <c r="A165" s="22">
        <v>2026</v>
      </c>
      <c r="B165" s="22">
        <v>8</v>
      </c>
      <c r="C165" s="26">
        <v>22.666666666666668</v>
      </c>
      <c r="D165" s="26">
        <v>33.333333333333336</v>
      </c>
      <c r="E165" s="26">
        <f t="shared" si="3"/>
        <v>10.666666666666668</v>
      </c>
      <c r="F165" s="3">
        <v>0</v>
      </c>
    </row>
    <row r="166" spans="1:6" x14ac:dyDescent="0.25">
      <c r="A166" s="22">
        <v>2026</v>
      </c>
      <c r="B166" s="22">
        <v>9</v>
      </c>
      <c r="C166" s="26">
        <v>24.8</v>
      </c>
      <c r="D166" s="26">
        <v>34.799999999999997</v>
      </c>
      <c r="E166" s="26">
        <f t="shared" si="3"/>
        <v>9.9999999999999964</v>
      </c>
      <c r="F166" s="3">
        <v>0</v>
      </c>
    </row>
    <row r="167" spans="1:6" x14ac:dyDescent="0.25">
      <c r="A167" s="22">
        <v>2026</v>
      </c>
      <c r="B167" s="22">
        <v>10</v>
      </c>
      <c r="C167" s="26">
        <v>22</v>
      </c>
      <c r="D167" s="26">
        <v>35.5</v>
      </c>
      <c r="E167" s="26">
        <f t="shared" si="3"/>
        <v>13.5</v>
      </c>
      <c r="F167" s="3">
        <v>0</v>
      </c>
    </row>
    <row r="168" spans="1:6" x14ac:dyDescent="0.25">
      <c r="A168" s="22">
        <v>2026</v>
      </c>
      <c r="B168" s="22">
        <v>11</v>
      </c>
      <c r="C168" s="26">
        <v>26.833333333333332</v>
      </c>
      <c r="D168" s="26">
        <v>35.833333333333336</v>
      </c>
      <c r="E168" s="26">
        <f t="shared" si="3"/>
        <v>9.0000000000000036</v>
      </c>
      <c r="F168" s="3">
        <v>48</v>
      </c>
    </row>
    <row r="169" spans="1:6" x14ac:dyDescent="0.25">
      <c r="A169" s="22">
        <v>2026</v>
      </c>
      <c r="B169" s="22">
        <v>12</v>
      </c>
      <c r="C169" s="26">
        <v>27.833333333333332</v>
      </c>
      <c r="D169" s="26">
        <v>37.666666666666664</v>
      </c>
      <c r="E169" s="26">
        <f t="shared" si="3"/>
        <v>9.8333333333333321</v>
      </c>
      <c r="F169" s="3">
        <v>42</v>
      </c>
    </row>
    <row r="170" spans="1:6" x14ac:dyDescent="0.25">
      <c r="A170" s="22">
        <v>2026</v>
      </c>
      <c r="B170" s="22">
        <v>13</v>
      </c>
      <c r="C170" s="26">
        <v>25.6</v>
      </c>
      <c r="D170" s="26">
        <v>33.6</v>
      </c>
      <c r="E170" s="26">
        <f t="shared" si="3"/>
        <v>8</v>
      </c>
      <c r="F170" s="3">
        <v>0</v>
      </c>
    </row>
    <row r="171" spans="1:6" x14ac:dyDescent="0.25">
      <c r="A171" s="22">
        <v>2026</v>
      </c>
      <c r="B171" s="22">
        <v>14</v>
      </c>
      <c r="C171" s="26">
        <v>26.666666666666668</v>
      </c>
      <c r="D171" s="26">
        <v>34.833333333333336</v>
      </c>
      <c r="E171" s="26">
        <f t="shared" si="3"/>
        <v>8.1666666666666679</v>
      </c>
      <c r="F171" s="3">
        <v>16</v>
      </c>
    </row>
    <row r="172" spans="1:6" x14ac:dyDescent="0.25">
      <c r="A172" s="22">
        <v>2026</v>
      </c>
      <c r="B172" s="22">
        <v>15</v>
      </c>
      <c r="C172" s="26">
        <v>25</v>
      </c>
      <c r="D172" s="26">
        <v>33.5</v>
      </c>
      <c r="E172" s="26">
        <f t="shared" si="3"/>
        <v>8.5</v>
      </c>
      <c r="F172" s="3">
        <v>0</v>
      </c>
    </row>
    <row r="173" spans="1:6" x14ac:dyDescent="0.25">
      <c r="A173" s="22">
        <v>2026</v>
      </c>
      <c r="B173" s="22">
        <v>16</v>
      </c>
      <c r="C173" s="26">
        <v>25.666666666666668</v>
      </c>
      <c r="D173" s="26">
        <v>36.5</v>
      </c>
      <c r="E173" s="26">
        <f t="shared" si="3"/>
        <v>10.833333333333332</v>
      </c>
      <c r="F173" s="3">
        <v>0</v>
      </c>
    </row>
    <row r="174" spans="1:6" x14ac:dyDescent="0.25">
      <c r="A174" s="22">
        <v>2026</v>
      </c>
      <c r="B174" s="22">
        <v>17</v>
      </c>
      <c r="C174" s="26">
        <v>24.75</v>
      </c>
      <c r="D174" s="26">
        <v>36.75</v>
      </c>
      <c r="E174" s="26">
        <f t="shared" si="3"/>
        <v>12</v>
      </c>
      <c r="F174" s="3">
        <v>64</v>
      </c>
    </row>
    <row r="175" spans="1:6" x14ac:dyDescent="0.25">
      <c r="A175" s="22">
        <v>2026</v>
      </c>
      <c r="B175" s="22">
        <v>18</v>
      </c>
      <c r="C175" s="26">
        <v>28</v>
      </c>
      <c r="D175" s="26">
        <v>36.166666666666664</v>
      </c>
      <c r="E175" s="26">
        <f t="shared" si="3"/>
        <v>8.1666666666666643</v>
      </c>
      <c r="F175" s="3">
        <v>115</v>
      </c>
    </row>
    <row r="176" spans="1:6" x14ac:dyDescent="0.25">
      <c r="A176" s="22">
        <v>2026</v>
      </c>
      <c r="B176" s="22">
        <v>19</v>
      </c>
      <c r="C176" s="26">
        <v>24.333333333333332</v>
      </c>
      <c r="D176" s="26">
        <v>30.5</v>
      </c>
      <c r="E176" s="26">
        <f t="shared" si="3"/>
        <v>6.1666666666666679</v>
      </c>
      <c r="F176" s="3">
        <v>104</v>
      </c>
    </row>
    <row r="177" spans="1:6" x14ac:dyDescent="0.25">
      <c r="A177" s="22">
        <v>2026</v>
      </c>
      <c r="B177" s="22">
        <v>20</v>
      </c>
      <c r="C177" s="26">
        <v>24.833333333333332</v>
      </c>
      <c r="D177" s="26">
        <v>34.5</v>
      </c>
      <c r="E177" s="26">
        <f t="shared" si="3"/>
        <v>9.6666666666666679</v>
      </c>
      <c r="F177" s="3">
        <v>90</v>
      </c>
    </row>
    <row r="178" spans="1:6" x14ac:dyDescent="0.25">
      <c r="A178" s="22">
        <v>2026</v>
      </c>
      <c r="B178" s="22">
        <v>21</v>
      </c>
      <c r="C178" s="26">
        <v>25.75</v>
      </c>
      <c r="D178" s="26">
        <v>35.25</v>
      </c>
      <c r="E178" s="26">
        <f t="shared" si="3"/>
        <v>9.5</v>
      </c>
      <c r="F178" s="3">
        <v>37</v>
      </c>
    </row>
    <row r="179" spans="1:6" x14ac:dyDescent="0.25">
      <c r="A179" s="22">
        <v>2026</v>
      </c>
      <c r="B179" s="22">
        <v>22</v>
      </c>
      <c r="C179" s="26">
        <v>22.75</v>
      </c>
      <c r="D179" s="26">
        <v>31.5</v>
      </c>
      <c r="E179" s="26">
        <f t="shared" si="3"/>
        <v>8.75</v>
      </c>
      <c r="F179" s="3">
        <v>20</v>
      </c>
    </row>
    <row r="180" spans="1:6" x14ac:dyDescent="0.25">
      <c r="A180" s="22">
        <v>2026</v>
      </c>
      <c r="B180" s="22">
        <v>23</v>
      </c>
      <c r="C180" s="26">
        <v>24</v>
      </c>
      <c r="D180" s="26">
        <v>33</v>
      </c>
      <c r="E180" s="26">
        <f t="shared" si="3"/>
        <v>9</v>
      </c>
      <c r="F180" s="3">
        <v>48</v>
      </c>
    </row>
    <row r="181" spans="1:6" x14ac:dyDescent="0.25">
      <c r="A181" s="22">
        <v>2026</v>
      </c>
      <c r="B181" s="22">
        <v>24</v>
      </c>
      <c r="C181" s="26">
        <v>26</v>
      </c>
      <c r="D181" s="26">
        <v>33.166666666666664</v>
      </c>
      <c r="E181" s="26">
        <f t="shared" si="3"/>
        <v>7.1666666666666643</v>
      </c>
      <c r="F181" s="3">
        <v>58</v>
      </c>
    </row>
    <row r="182" spans="1:6" x14ac:dyDescent="0.25">
      <c r="A182" s="22">
        <v>2026</v>
      </c>
      <c r="B182" s="22">
        <v>25</v>
      </c>
      <c r="C182" s="26">
        <v>24.166666666666668</v>
      </c>
      <c r="D182" s="26">
        <v>33.166666666666664</v>
      </c>
      <c r="E182" s="26">
        <f t="shared" si="3"/>
        <v>8.9999999999999964</v>
      </c>
      <c r="F182" s="3">
        <v>26</v>
      </c>
    </row>
    <row r="183" spans="1:6" x14ac:dyDescent="0.25">
      <c r="A183" s="22">
        <v>2026</v>
      </c>
      <c r="B183" s="22">
        <v>26</v>
      </c>
      <c r="C183" s="26">
        <v>27.5</v>
      </c>
      <c r="D183" s="26">
        <v>34.799999999999997</v>
      </c>
      <c r="E183" s="26">
        <f t="shared" si="3"/>
        <v>7.2999999999999972</v>
      </c>
      <c r="F183" s="3">
        <v>0</v>
      </c>
    </row>
    <row r="184" spans="1:6" x14ac:dyDescent="0.25">
      <c r="A184" s="22">
        <v>2026</v>
      </c>
      <c r="B184" s="22">
        <v>27</v>
      </c>
      <c r="C184" s="26">
        <v>27</v>
      </c>
      <c r="D184" s="26">
        <v>34.333333333333336</v>
      </c>
      <c r="E184" s="26">
        <f t="shared" si="3"/>
        <v>7.3333333333333357</v>
      </c>
      <c r="F184" s="3">
        <v>11</v>
      </c>
    </row>
    <row r="185" spans="1:6" x14ac:dyDescent="0.25">
      <c r="A185" s="22">
        <v>2026</v>
      </c>
      <c r="B185" s="22">
        <v>28</v>
      </c>
      <c r="C185" s="26">
        <v>25.5</v>
      </c>
      <c r="D185" s="26">
        <v>33.833333333333336</v>
      </c>
      <c r="E185" s="26">
        <f t="shared" si="3"/>
        <v>8.3333333333333357</v>
      </c>
      <c r="F185" s="3">
        <v>35</v>
      </c>
    </row>
    <row r="186" spans="1:6" x14ac:dyDescent="0.25">
      <c r="A186" s="22">
        <v>2026</v>
      </c>
      <c r="B186" s="22">
        <v>29</v>
      </c>
      <c r="C186" s="26">
        <v>25.666666666666668</v>
      </c>
      <c r="D186" s="26">
        <v>34</v>
      </c>
      <c r="E186" s="26">
        <f t="shared" si="3"/>
        <v>8.3333333333333321</v>
      </c>
      <c r="F186" s="3">
        <v>0</v>
      </c>
    </row>
    <row r="187" spans="1:6" x14ac:dyDescent="0.25">
      <c r="A187" s="22">
        <v>2026</v>
      </c>
      <c r="B187" s="22">
        <v>30</v>
      </c>
      <c r="C187" s="26">
        <v>25.6</v>
      </c>
      <c r="D187" s="26">
        <v>34.4</v>
      </c>
      <c r="E187" s="26">
        <f t="shared" si="3"/>
        <v>8.7999999999999972</v>
      </c>
      <c r="F187" s="3">
        <v>0</v>
      </c>
    </row>
    <row r="188" spans="1:6" x14ac:dyDescent="0.25">
      <c r="A188" s="22">
        <v>2026</v>
      </c>
      <c r="B188" s="22">
        <v>31</v>
      </c>
      <c r="C188" s="26">
        <v>25.833333333333332</v>
      </c>
      <c r="D188" s="26">
        <v>32</v>
      </c>
      <c r="E188" s="26">
        <f t="shared" si="3"/>
        <v>6.1666666666666679</v>
      </c>
      <c r="F188" s="3">
        <v>47</v>
      </c>
    </row>
    <row r="189" spans="1:6" x14ac:dyDescent="0.25">
      <c r="A189" s="22">
        <v>2026</v>
      </c>
      <c r="B189" s="22">
        <v>32</v>
      </c>
      <c r="C189" s="26">
        <v>27.2</v>
      </c>
      <c r="D189" s="26">
        <v>33.5</v>
      </c>
      <c r="E189" s="26">
        <f>D189-C189</f>
        <v>6.3000000000000007</v>
      </c>
      <c r="F189" s="3">
        <v>53</v>
      </c>
    </row>
    <row r="190" spans="1:6" x14ac:dyDescent="0.25">
      <c r="A190" s="22">
        <v>2026</v>
      </c>
      <c r="B190" s="22">
        <v>33</v>
      </c>
      <c r="C190" s="26">
        <v>26.666666666666668</v>
      </c>
      <c r="D190" s="26">
        <v>33</v>
      </c>
      <c r="E190" s="26">
        <f t="shared" si="3"/>
        <v>6.3333333333333321</v>
      </c>
      <c r="F190" s="3">
        <v>0</v>
      </c>
    </row>
    <row r="191" spans="1:6" x14ac:dyDescent="0.25">
      <c r="A191" s="22">
        <v>2026</v>
      </c>
      <c r="B191" s="22">
        <v>34</v>
      </c>
      <c r="C191" s="26">
        <v>27.75</v>
      </c>
      <c r="D191" s="26">
        <v>34.5</v>
      </c>
      <c r="E191" s="26">
        <f t="shared" si="3"/>
        <v>6.75</v>
      </c>
      <c r="F191" s="3">
        <v>8</v>
      </c>
    </row>
    <row r="192" spans="1:6" x14ac:dyDescent="0.25">
      <c r="A192" s="22">
        <v>2026</v>
      </c>
      <c r="B192" s="22">
        <v>35</v>
      </c>
      <c r="C192" s="26">
        <v>24</v>
      </c>
      <c r="D192" s="26">
        <v>35.833333333333336</v>
      </c>
      <c r="E192" s="26">
        <f t="shared" si="3"/>
        <v>11.833333333333336</v>
      </c>
      <c r="F192" s="3">
        <v>29</v>
      </c>
    </row>
    <row r="193" spans="1:6" x14ac:dyDescent="0.25">
      <c r="A193" s="22">
        <v>2026</v>
      </c>
      <c r="B193" s="22">
        <v>36</v>
      </c>
      <c r="C193" s="26">
        <v>23.5</v>
      </c>
      <c r="D193" s="26">
        <v>36</v>
      </c>
      <c r="E193" s="26">
        <f t="shared" si="3"/>
        <v>12.5</v>
      </c>
      <c r="F193" s="3">
        <v>0</v>
      </c>
    </row>
    <row r="194" spans="1:6" x14ac:dyDescent="0.25">
      <c r="A194" s="22">
        <v>2026</v>
      </c>
      <c r="B194" s="22">
        <v>37</v>
      </c>
      <c r="C194" s="26">
        <v>24.166666666666668</v>
      </c>
      <c r="D194" s="26">
        <v>34.166666666666664</v>
      </c>
      <c r="E194" s="26">
        <f t="shared" si="3"/>
        <v>9.9999999999999964</v>
      </c>
      <c r="F194" s="3">
        <v>5.5</v>
      </c>
    </row>
    <row r="195" spans="1:6" x14ac:dyDescent="0.25">
      <c r="A195" s="22">
        <v>2026</v>
      </c>
      <c r="B195" s="22">
        <v>38</v>
      </c>
      <c r="C195" s="26">
        <v>22</v>
      </c>
      <c r="D195" s="26">
        <v>31.2</v>
      </c>
      <c r="E195" s="26">
        <f t="shared" si="3"/>
        <v>9.1999999999999993</v>
      </c>
      <c r="F195" s="3">
        <v>8</v>
      </c>
    </row>
    <row r="196" spans="1:6" x14ac:dyDescent="0.25">
      <c r="A196" s="22">
        <v>2026</v>
      </c>
      <c r="B196" s="22">
        <v>39</v>
      </c>
      <c r="C196" s="26">
        <v>23.833333333333332</v>
      </c>
      <c r="D196" s="26">
        <v>33.166666666666664</v>
      </c>
      <c r="E196" s="26">
        <f t="shared" si="3"/>
        <v>9.3333333333333321</v>
      </c>
      <c r="F196" s="3">
        <v>140</v>
      </c>
    </row>
    <row r="197" spans="1:6" x14ac:dyDescent="0.25">
      <c r="A197" s="22">
        <v>2026</v>
      </c>
      <c r="B197" s="22">
        <v>40</v>
      </c>
      <c r="C197" s="3"/>
      <c r="D197" s="3"/>
      <c r="E197" s="3"/>
      <c r="F197" s="3">
        <v>25</v>
      </c>
    </row>
    <row r="198" spans="1:6" x14ac:dyDescent="0.25">
      <c r="A198" s="22">
        <v>2026</v>
      </c>
      <c r="B198" s="22">
        <v>41</v>
      </c>
      <c r="C198" s="3"/>
      <c r="D198" s="3"/>
      <c r="E198" s="3"/>
      <c r="F198" s="3"/>
    </row>
    <row r="199" spans="1:6" x14ac:dyDescent="0.25">
      <c r="A199" s="22">
        <v>2026</v>
      </c>
      <c r="B199" s="22">
        <v>42</v>
      </c>
      <c r="C199" s="3"/>
      <c r="D199" s="3"/>
      <c r="E199" s="3"/>
      <c r="F199" s="3"/>
    </row>
    <row r="200" spans="1:6" x14ac:dyDescent="0.25">
      <c r="A200" s="22">
        <v>2026</v>
      </c>
      <c r="B200" s="22">
        <v>43</v>
      </c>
      <c r="C200" s="3"/>
      <c r="D200" s="3"/>
      <c r="E200" s="3"/>
      <c r="F200" s="3"/>
    </row>
    <row r="201" spans="1:6" x14ac:dyDescent="0.25">
      <c r="A201" s="22">
        <v>2026</v>
      </c>
      <c r="B201" s="22">
        <v>44</v>
      </c>
      <c r="C201" s="3"/>
      <c r="D201" s="3"/>
      <c r="E201" s="3"/>
      <c r="F201" s="3"/>
    </row>
    <row r="202" spans="1:6" x14ac:dyDescent="0.25">
      <c r="A202" s="22">
        <v>2026</v>
      </c>
      <c r="B202" s="22">
        <v>45</v>
      </c>
      <c r="C202" s="3"/>
      <c r="D202" s="3"/>
      <c r="E202" s="3"/>
      <c r="F202" s="3"/>
    </row>
    <row r="203" spans="1:6" x14ac:dyDescent="0.25">
      <c r="A203" s="22">
        <v>2026</v>
      </c>
      <c r="B203" s="22">
        <v>46</v>
      </c>
      <c r="C203" s="3"/>
      <c r="D203" s="3"/>
      <c r="E203" s="3"/>
      <c r="F203" s="3"/>
    </row>
    <row r="204" spans="1:6" x14ac:dyDescent="0.25">
      <c r="A204" s="22">
        <v>2026</v>
      </c>
      <c r="B204" s="22">
        <v>47</v>
      </c>
      <c r="C204" s="3"/>
      <c r="D204" s="3"/>
      <c r="E204" s="3"/>
      <c r="F204" s="3"/>
    </row>
    <row r="205" spans="1:6" x14ac:dyDescent="0.25">
      <c r="A205" s="22">
        <v>2026</v>
      </c>
      <c r="B205" s="22">
        <v>48</v>
      </c>
      <c r="C205" s="3"/>
      <c r="D205" s="3"/>
      <c r="E205" s="3"/>
      <c r="F205" s="3"/>
    </row>
    <row r="206" spans="1:6" x14ac:dyDescent="0.25">
      <c r="A206" s="22">
        <v>2026</v>
      </c>
      <c r="B206" s="22">
        <v>49</v>
      </c>
      <c r="C206" s="3"/>
      <c r="D206" s="3"/>
      <c r="E206" s="3"/>
      <c r="F206" s="3"/>
    </row>
    <row r="207" spans="1:6" x14ac:dyDescent="0.25">
      <c r="A207" s="22">
        <v>2026</v>
      </c>
      <c r="B207" s="22">
        <v>50</v>
      </c>
      <c r="C207" s="3"/>
      <c r="D207" s="3"/>
      <c r="E207" s="3"/>
      <c r="F207" s="3"/>
    </row>
    <row r="208" spans="1:6" x14ac:dyDescent="0.25">
      <c r="A208" s="22">
        <v>2026</v>
      </c>
      <c r="B208" s="22">
        <v>51</v>
      </c>
      <c r="C208" s="3"/>
      <c r="D208" s="3"/>
      <c r="E208" s="3"/>
      <c r="F208" s="3"/>
    </row>
    <row r="209" spans="1:6" x14ac:dyDescent="0.25">
      <c r="A209" s="22">
        <v>2026</v>
      </c>
      <c r="B209" s="22">
        <v>52</v>
      </c>
      <c r="C209" s="3"/>
      <c r="D209" s="3"/>
      <c r="E209" s="3"/>
      <c r="F209" s="3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8"/>
  <sheetViews>
    <sheetView topLeftCell="A31" workbookViewId="0">
      <selection activeCell="B60" sqref="B60:E60"/>
    </sheetView>
  </sheetViews>
  <sheetFormatPr defaultRowHeight="15" x14ac:dyDescent="0.25"/>
  <cols>
    <col min="1" max="1" width="14.28515625" customWidth="1"/>
  </cols>
  <sheetData>
    <row r="1" spans="1:5" x14ac:dyDescent="0.25">
      <c r="A1" s="7"/>
      <c r="B1" s="27" t="s">
        <v>8</v>
      </c>
      <c r="C1" s="27"/>
      <c r="D1" s="27"/>
    </row>
    <row r="2" spans="1:5" x14ac:dyDescent="0.25">
      <c r="A2" s="7" t="s">
        <v>9</v>
      </c>
      <c r="B2" s="7">
        <v>2023</v>
      </c>
      <c r="C2" s="7">
        <v>2024</v>
      </c>
      <c r="D2" s="7">
        <v>2025</v>
      </c>
      <c r="E2" s="17">
        <v>2026</v>
      </c>
    </row>
    <row r="3" spans="1:5" x14ac:dyDescent="0.25">
      <c r="A3" s="7">
        <v>1</v>
      </c>
      <c r="B3" s="7">
        <v>0</v>
      </c>
      <c r="C3" s="7">
        <v>68</v>
      </c>
      <c r="D3" s="7">
        <v>54</v>
      </c>
      <c r="E3" s="7">
        <v>10</v>
      </c>
    </row>
    <row r="4" spans="1:5" x14ac:dyDescent="0.25">
      <c r="A4" s="7">
        <v>2</v>
      </c>
      <c r="B4" s="7">
        <v>0</v>
      </c>
      <c r="C4" s="7">
        <v>31.5</v>
      </c>
      <c r="D4" s="7">
        <v>0</v>
      </c>
      <c r="E4" s="7">
        <v>23</v>
      </c>
    </row>
    <row r="5" spans="1:5" x14ac:dyDescent="0.25">
      <c r="A5" s="7">
        <v>3</v>
      </c>
      <c r="B5" s="7">
        <v>13</v>
      </c>
      <c r="C5" s="7">
        <v>0</v>
      </c>
      <c r="D5" s="7">
        <v>74</v>
      </c>
      <c r="E5" s="7">
        <v>0</v>
      </c>
    </row>
    <row r="6" spans="1:5" x14ac:dyDescent="0.25">
      <c r="A6" s="7">
        <v>4</v>
      </c>
      <c r="B6" s="7">
        <v>0</v>
      </c>
      <c r="C6" s="7">
        <v>0</v>
      </c>
      <c r="D6" s="7">
        <v>90.5</v>
      </c>
      <c r="E6" s="7">
        <v>0</v>
      </c>
    </row>
    <row r="7" spans="1:5" x14ac:dyDescent="0.25">
      <c r="A7" s="7">
        <v>5</v>
      </c>
      <c r="B7" s="7">
        <v>18</v>
      </c>
      <c r="C7" s="7">
        <v>17.5</v>
      </c>
      <c r="D7" s="7">
        <v>27</v>
      </c>
      <c r="E7" s="7">
        <v>0</v>
      </c>
    </row>
    <row r="8" spans="1:5" x14ac:dyDescent="0.25">
      <c r="A8" s="7">
        <v>6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7">
        <v>7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7">
        <v>8</v>
      </c>
      <c r="B10" s="7">
        <v>0</v>
      </c>
      <c r="C10" s="7">
        <v>7</v>
      </c>
      <c r="D10" s="7">
        <v>0</v>
      </c>
      <c r="E10" s="7">
        <v>0</v>
      </c>
    </row>
    <row r="11" spans="1:5" x14ac:dyDescent="0.25">
      <c r="A11" s="7">
        <v>9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7">
        <v>10</v>
      </c>
      <c r="B12" s="7">
        <v>13</v>
      </c>
      <c r="C12" s="7">
        <v>0</v>
      </c>
      <c r="D12" s="7">
        <v>72</v>
      </c>
      <c r="E12" s="7">
        <v>0</v>
      </c>
    </row>
    <row r="13" spans="1:5" x14ac:dyDescent="0.25">
      <c r="A13" s="7">
        <v>11</v>
      </c>
      <c r="B13" s="7">
        <v>68</v>
      </c>
      <c r="C13" s="7">
        <v>0</v>
      </c>
      <c r="D13" s="7">
        <v>0</v>
      </c>
      <c r="E13" s="7">
        <v>48</v>
      </c>
    </row>
    <row r="14" spans="1:5" x14ac:dyDescent="0.25">
      <c r="A14" s="7">
        <v>12</v>
      </c>
      <c r="B14" s="7">
        <v>129</v>
      </c>
      <c r="C14" s="7">
        <v>11</v>
      </c>
      <c r="D14" s="7">
        <v>36.5</v>
      </c>
      <c r="E14" s="7">
        <v>42</v>
      </c>
    </row>
    <row r="15" spans="1:5" x14ac:dyDescent="0.25">
      <c r="A15" s="7">
        <v>13</v>
      </c>
      <c r="B15" s="7">
        <v>45</v>
      </c>
      <c r="C15" s="7">
        <v>0</v>
      </c>
      <c r="D15" s="7">
        <v>27.5</v>
      </c>
      <c r="E15" s="7">
        <v>0</v>
      </c>
    </row>
    <row r="16" spans="1:5" x14ac:dyDescent="0.25">
      <c r="A16" s="7">
        <v>14</v>
      </c>
      <c r="B16" s="7">
        <v>3</v>
      </c>
      <c r="C16" s="7">
        <v>7</v>
      </c>
      <c r="D16" s="7">
        <v>27</v>
      </c>
      <c r="E16" s="7">
        <v>16</v>
      </c>
    </row>
    <row r="17" spans="1:5" x14ac:dyDescent="0.25">
      <c r="A17" s="7">
        <v>15</v>
      </c>
      <c r="B17" s="7">
        <v>86</v>
      </c>
      <c r="C17" s="7">
        <v>37</v>
      </c>
      <c r="D17" s="7">
        <v>75</v>
      </c>
      <c r="E17" s="7">
        <v>0</v>
      </c>
    </row>
    <row r="18" spans="1:5" x14ac:dyDescent="0.25">
      <c r="A18" s="7">
        <v>16</v>
      </c>
      <c r="B18" s="7">
        <v>58</v>
      </c>
      <c r="C18" s="7">
        <v>93</v>
      </c>
      <c r="D18" s="7">
        <v>0</v>
      </c>
      <c r="E18" s="7">
        <v>0</v>
      </c>
    </row>
    <row r="19" spans="1:5" x14ac:dyDescent="0.25">
      <c r="A19" s="7">
        <v>17</v>
      </c>
      <c r="B19" s="7">
        <v>37</v>
      </c>
      <c r="C19" s="7">
        <v>38</v>
      </c>
      <c r="D19" s="7">
        <v>3</v>
      </c>
      <c r="E19" s="7">
        <v>64</v>
      </c>
    </row>
    <row r="20" spans="1:5" x14ac:dyDescent="0.25">
      <c r="A20" s="7">
        <v>18</v>
      </c>
      <c r="B20" s="7">
        <v>0</v>
      </c>
      <c r="C20" s="7">
        <v>0</v>
      </c>
      <c r="D20" s="7">
        <v>105</v>
      </c>
      <c r="E20" s="7">
        <v>115</v>
      </c>
    </row>
    <row r="21" spans="1:5" x14ac:dyDescent="0.25">
      <c r="A21" s="7">
        <v>19</v>
      </c>
      <c r="B21" s="7">
        <v>133</v>
      </c>
      <c r="C21" s="7">
        <v>76.5</v>
      </c>
      <c r="D21" s="7">
        <v>8</v>
      </c>
      <c r="E21" s="7">
        <v>104</v>
      </c>
    </row>
    <row r="22" spans="1:5" x14ac:dyDescent="0.25">
      <c r="A22" s="7">
        <v>20</v>
      </c>
      <c r="B22" s="7">
        <v>0</v>
      </c>
      <c r="C22" s="7">
        <v>215.5</v>
      </c>
      <c r="D22" s="7">
        <v>0</v>
      </c>
      <c r="E22" s="7">
        <v>90</v>
      </c>
    </row>
    <row r="23" spans="1:5" x14ac:dyDescent="0.25">
      <c r="A23" s="7">
        <v>21</v>
      </c>
      <c r="B23" s="7">
        <v>0</v>
      </c>
      <c r="C23" s="7">
        <v>57</v>
      </c>
      <c r="D23" s="7">
        <v>131</v>
      </c>
      <c r="E23" s="7">
        <v>37</v>
      </c>
    </row>
    <row r="24" spans="1:5" x14ac:dyDescent="0.25">
      <c r="A24" s="7">
        <v>22</v>
      </c>
      <c r="B24" s="7">
        <v>0</v>
      </c>
      <c r="C24" s="7">
        <v>358</v>
      </c>
      <c r="D24" s="7">
        <v>78</v>
      </c>
      <c r="E24" s="7">
        <v>20</v>
      </c>
    </row>
    <row r="25" spans="1:5" x14ac:dyDescent="0.25">
      <c r="A25" s="7">
        <v>23</v>
      </c>
      <c r="B25" s="7">
        <v>7</v>
      </c>
      <c r="C25" s="7">
        <v>32.5</v>
      </c>
      <c r="D25" s="7">
        <v>22</v>
      </c>
      <c r="E25" s="7">
        <v>48</v>
      </c>
    </row>
    <row r="26" spans="1:5" x14ac:dyDescent="0.25">
      <c r="A26" s="7">
        <v>24</v>
      </c>
      <c r="B26" s="7">
        <v>78</v>
      </c>
      <c r="C26" s="7">
        <v>38</v>
      </c>
      <c r="D26" s="7">
        <v>56</v>
      </c>
      <c r="E26" s="7">
        <v>58</v>
      </c>
    </row>
    <row r="27" spans="1:5" x14ac:dyDescent="0.25">
      <c r="A27" s="7">
        <v>25</v>
      </c>
      <c r="B27" s="7">
        <v>0</v>
      </c>
      <c r="C27" s="7">
        <v>38</v>
      </c>
      <c r="D27" s="7">
        <v>75</v>
      </c>
      <c r="E27" s="4"/>
    </row>
    <row r="28" spans="1:5" x14ac:dyDescent="0.25">
      <c r="A28" s="7">
        <v>26</v>
      </c>
      <c r="B28" s="7">
        <v>0</v>
      </c>
      <c r="C28" s="7">
        <v>35</v>
      </c>
      <c r="D28" s="7">
        <v>34</v>
      </c>
      <c r="E28" s="4"/>
    </row>
    <row r="29" spans="1:5" x14ac:dyDescent="0.25">
      <c r="A29" s="7">
        <v>27</v>
      </c>
      <c r="B29" s="7">
        <v>64.5</v>
      </c>
      <c r="C29" s="7">
        <v>22.5</v>
      </c>
      <c r="D29" s="7">
        <v>0</v>
      </c>
      <c r="E29" s="4"/>
    </row>
    <row r="30" spans="1:5" x14ac:dyDescent="0.25">
      <c r="A30" s="7">
        <v>28</v>
      </c>
      <c r="B30" s="7">
        <v>6</v>
      </c>
      <c r="C30" s="7">
        <v>56.5</v>
      </c>
      <c r="D30" s="7">
        <v>0</v>
      </c>
      <c r="E30" s="4"/>
    </row>
    <row r="31" spans="1:5" x14ac:dyDescent="0.25">
      <c r="A31" s="7">
        <v>29</v>
      </c>
      <c r="B31" s="7">
        <v>0</v>
      </c>
      <c r="C31" s="7">
        <v>14</v>
      </c>
      <c r="D31" s="7">
        <v>0</v>
      </c>
      <c r="E31" s="4"/>
    </row>
    <row r="32" spans="1:5" x14ac:dyDescent="0.25">
      <c r="A32" s="7">
        <v>30</v>
      </c>
      <c r="B32" s="7">
        <v>0</v>
      </c>
      <c r="C32" s="7">
        <v>14</v>
      </c>
      <c r="D32" s="7">
        <v>58</v>
      </c>
    </row>
    <row r="33" spans="1:4" x14ac:dyDescent="0.25">
      <c r="A33" s="7">
        <v>31</v>
      </c>
      <c r="B33" s="7">
        <v>0</v>
      </c>
      <c r="C33" s="7">
        <v>50</v>
      </c>
      <c r="D33" s="7">
        <v>0</v>
      </c>
    </row>
    <row r="34" spans="1:4" x14ac:dyDescent="0.25">
      <c r="A34" s="7">
        <v>32</v>
      </c>
      <c r="B34" s="7">
        <v>0</v>
      </c>
      <c r="C34" s="7">
        <v>0</v>
      </c>
      <c r="D34" s="7">
        <v>43</v>
      </c>
    </row>
    <row r="35" spans="1:4" x14ac:dyDescent="0.25">
      <c r="A35" s="7">
        <v>33</v>
      </c>
      <c r="B35" s="7">
        <v>0</v>
      </c>
      <c r="C35" s="7">
        <v>31</v>
      </c>
      <c r="D35" s="7">
        <v>13</v>
      </c>
    </row>
    <row r="36" spans="1:4" x14ac:dyDescent="0.25">
      <c r="A36" s="7">
        <v>34</v>
      </c>
      <c r="B36" s="7">
        <v>0</v>
      </c>
      <c r="C36" s="7">
        <v>61</v>
      </c>
      <c r="D36" s="7">
        <v>0</v>
      </c>
    </row>
    <row r="37" spans="1:4" x14ac:dyDescent="0.25">
      <c r="A37" s="7">
        <v>35</v>
      </c>
      <c r="B37" s="7">
        <v>62</v>
      </c>
      <c r="C37" s="7">
        <v>8.5</v>
      </c>
      <c r="D37" s="7">
        <v>3</v>
      </c>
    </row>
    <row r="38" spans="1:4" x14ac:dyDescent="0.25">
      <c r="A38" s="7">
        <v>36</v>
      </c>
      <c r="B38" s="7">
        <v>126</v>
      </c>
      <c r="C38" s="7">
        <v>57.5</v>
      </c>
      <c r="D38" s="7">
        <v>0</v>
      </c>
    </row>
    <row r="39" spans="1:4" x14ac:dyDescent="0.25">
      <c r="A39" s="7">
        <v>37</v>
      </c>
      <c r="B39" s="7">
        <v>72</v>
      </c>
      <c r="C39" s="7">
        <v>23.5</v>
      </c>
      <c r="D39" s="7">
        <v>60</v>
      </c>
    </row>
    <row r="40" spans="1:4" x14ac:dyDescent="0.25">
      <c r="A40" s="7">
        <v>38</v>
      </c>
      <c r="B40" s="7">
        <v>24</v>
      </c>
      <c r="C40" s="7">
        <v>8</v>
      </c>
      <c r="D40" s="7">
        <v>27</v>
      </c>
    </row>
    <row r="41" spans="1:4" x14ac:dyDescent="0.25">
      <c r="A41" s="7">
        <v>39</v>
      </c>
      <c r="B41" s="7">
        <v>112</v>
      </c>
      <c r="C41" s="7">
        <v>7</v>
      </c>
      <c r="D41" s="7">
        <v>0</v>
      </c>
    </row>
    <row r="42" spans="1:4" x14ac:dyDescent="0.25">
      <c r="A42" s="7">
        <v>40</v>
      </c>
      <c r="B42" s="7">
        <v>61.5</v>
      </c>
      <c r="C42" s="7">
        <v>41</v>
      </c>
      <c r="D42" s="7">
        <v>0</v>
      </c>
    </row>
    <row r="43" spans="1:4" x14ac:dyDescent="0.25">
      <c r="A43" s="7">
        <v>41</v>
      </c>
      <c r="B43" s="7">
        <v>65.849999999999994</v>
      </c>
      <c r="C43" s="7">
        <v>101</v>
      </c>
      <c r="D43" s="7">
        <v>0</v>
      </c>
    </row>
    <row r="44" spans="1:4" x14ac:dyDescent="0.25">
      <c r="A44" s="7">
        <v>42</v>
      </c>
      <c r="B44" s="7">
        <v>164</v>
      </c>
      <c r="C44" s="7">
        <v>86</v>
      </c>
      <c r="D44" s="7">
        <v>389</v>
      </c>
    </row>
    <row r="45" spans="1:4" x14ac:dyDescent="0.25">
      <c r="A45" s="7">
        <v>43</v>
      </c>
      <c r="B45" s="7">
        <v>108</v>
      </c>
      <c r="C45" s="7">
        <v>14.5</v>
      </c>
      <c r="D45" s="7">
        <v>247</v>
      </c>
    </row>
    <row r="46" spans="1:4" x14ac:dyDescent="0.25">
      <c r="A46" s="7">
        <v>44</v>
      </c>
      <c r="B46" s="7">
        <v>164.5</v>
      </c>
      <c r="C46" s="7">
        <v>60.5</v>
      </c>
      <c r="D46" s="7">
        <v>3</v>
      </c>
    </row>
    <row r="47" spans="1:4" x14ac:dyDescent="0.25">
      <c r="A47" s="7">
        <v>45</v>
      </c>
      <c r="B47" s="7">
        <v>109</v>
      </c>
      <c r="C47" s="7">
        <v>181</v>
      </c>
      <c r="D47" s="7">
        <v>31</v>
      </c>
    </row>
    <row r="48" spans="1:4" x14ac:dyDescent="0.25">
      <c r="A48" s="7">
        <v>46</v>
      </c>
      <c r="B48" s="7">
        <v>97.5</v>
      </c>
      <c r="C48" s="7">
        <v>57</v>
      </c>
      <c r="D48" s="7">
        <v>36</v>
      </c>
    </row>
    <row r="49" spans="1:5" x14ac:dyDescent="0.25">
      <c r="A49" s="7">
        <v>47</v>
      </c>
      <c r="B49" s="7">
        <v>255.5</v>
      </c>
      <c r="C49" s="7">
        <v>134.5</v>
      </c>
      <c r="D49" s="7">
        <v>112</v>
      </c>
    </row>
    <row r="50" spans="1:5" x14ac:dyDescent="0.25">
      <c r="A50" s="7">
        <v>48</v>
      </c>
      <c r="B50" s="7">
        <v>44</v>
      </c>
      <c r="C50" s="7">
        <v>230</v>
      </c>
      <c r="D50" s="7">
        <v>530</v>
      </c>
    </row>
    <row r="51" spans="1:5" x14ac:dyDescent="0.25">
      <c r="A51" s="7">
        <v>49</v>
      </c>
      <c r="B51" s="7">
        <v>54</v>
      </c>
      <c r="C51" s="7">
        <v>0.5</v>
      </c>
      <c r="D51" s="7">
        <v>0</v>
      </c>
    </row>
    <row r="52" spans="1:5" x14ac:dyDescent="0.25">
      <c r="A52" s="7">
        <v>50</v>
      </c>
      <c r="B52" s="7">
        <v>59</v>
      </c>
      <c r="C52" s="7">
        <v>32.5</v>
      </c>
      <c r="D52" s="7">
        <v>15</v>
      </c>
    </row>
    <row r="53" spans="1:5" x14ac:dyDescent="0.25">
      <c r="A53" s="7">
        <v>51</v>
      </c>
      <c r="B53" s="7">
        <v>26</v>
      </c>
      <c r="C53" s="7">
        <v>121</v>
      </c>
      <c r="D53" s="7">
        <v>20</v>
      </c>
    </row>
    <row r="54" spans="1:5" x14ac:dyDescent="0.25">
      <c r="A54" s="7">
        <v>52</v>
      </c>
      <c r="B54" s="7">
        <v>2</v>
      </c>
      <c r="C54" s="7">
        <v>23</v>
      </c>
      <c r="D54" s="7">
        <v>0</v>
      </c>
    </row>
    <row r="56" spans="1:5" x14ac:dyDescent="0.25">
      <c r="A56" s="7" t="s">
        <v>13</v>
      </c>
      <c r="B56" s="7">
        <v>2023</v>
      </c>
      <c r="C56" s="7">
        <v>2024</v>
      </c>
      <c r="D56" s="7">
        <v>2025</v>
      </c>
      <c r="E56" s="17">
        <v>2026</v>
      </c>
    </row>
    <row r="57" spans="1:5" x14ac:dyDescent="0.25">
      <c r="A57" t="s">
        <v>14</v>
      </c>
      <c r="B57">
        <f>SUM(B3:B7)</f>
        <v>31</v>
      </c>
      <c r="C57">
        <f t="shared" ref="C57:E57" si="0">SUM(C3:C7)</f>
        <v>117</v>
      </c>
      <c r="D57">
        <f t="shared" si="0"/>
        <v>245.5</v>
      </c>
      <c r="E57">
        <f t="shared" si="0"/>
        <v>33</v>
      </c>
    </row>
    <row r="58" spans="1:5" x14ac:dyDescent="0.25">
      <c r="A58" t="s">
        <v>15</v>
      </c>
      <c r="B58">
        <f>SUM(B8:B11)</f>
        <v>0</v>
      </c>
      <c r="C58">
        <f t="shared" ref="C58:E58" si="1">SUM(C8:C11)</f>
        <v>7</v>
      </c>
      <c r="D58">
        <f t="shared" si="1"/>
        <v>0</v>
      </c>
      <c r="E58">
        <f t="shared" si="1"/>
        <v>0</v>
      </c>
    </row>
    <row r="59" spans="1:5" x14ac:dyDescent="0.25">
      <c r="A59" t="s">
        <v>16</v>
      </c>
      <c r="B59">
        <f>SUM(B12:B16)</f>
        <v>258</v>
      </c>
      <c r="C59">
        <f t="shared" ref="C59:E59" si="2">SUM(C12:C16)</f>
        <v>18</v>
      </c>
      <c r="D59">
        <f t="shared" si="2"/>
        <v>163</v>
      </c>
      <c r="E59">
        <f t="shared" si="2"/>
        <v>106</v>
      </c>
    </row>
    <row r="60" spans="1:5" x14ac:dyDescent="0.25">
      <c r="A60" t="s">
        <v>17</v>
      </c>
      <c r="B60">
        <f>SUM(B17:B21)</f>
        <v>314</v>
      </c>
      <c r="C60">
        <f t="shared" ref="C60:E60" si="3">SUM(C17:C21)</f>
        <v>244.5</v>
      </c>
      <c r="D60">
        <f t="shared" si="3"/>
        <v>191</v>
      </c>
      <c r="E60">
        <f t="shared" si="3"/>
        <v>283</v>
      </c>
    </row>
    <row r="61" spans="1:5" x14ac:dyDescent="0.25">
      <c r="A61" t="s">
        <v>18</v>
      </c>
    </row>
    <row r="62" spans="1:5" x14ac:dyDescent="0.25">
      <c r="A62" t="s">
        <v>19</v>
      </c>
    </row>
    <row r="63" spans="1:5" x14ac:dyDescent="0.25">
      <c r="A63" t="s">
        <v>20</v>
      </c>
    </row>
    <row r="64" spans="1:5" x14ac:dyDescent="0.25">
      <c r="A64" t="s">
        <v>21</v>
      </c>
    </row>
    <row r="65" spans="1:1" x14ac:dyDescent="0.25">
      <c r="A65" t="s">
        <v>22</v>
      </c>
    </row>
    <row r="66" spans="1:1" x14ac:dyDescent="0.25">
      <c r="A66" t="s">
        <v>23</v>
      </c>
    </row>
    <row r="67" spans="1:1" x14ac:dyDescent="0.25">
      <c r="A67" t="s">
        <v>24</v>
      </c>
    </row>
    <row r="68" spans="1:1" x14ac:dyDescent="0.25">
      <c r="A68" t="s">
        <v>25</v>
      </c>
    </row>
  </sheetData>
  <mergeCells count="1">
    <mergeCell ref="B1:D1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selection activeCell="B1" sqref="B1:D1"/>
    </sheetView>
  </sheetViews>
  <sheetFormatPr defaultRowHeight="15" x14ac:dyDescent="0.25"/>
  <cols>
    <col min="1" max="1" width="14.28515625" customWidth="1"/>
  </cols>
  <sheetData>
    <row r="1" spans="1:4" x14ac:dyDescent="0.25">
      <c r="A1" s="7"/>
      <c r="B1" s="27" t="s">
        <v>10</v>
      </c>
      <c r="C1" s="27"/>
      <c r="D1" s="27"/>
    </row>
    <row r="2" spans="1:4" x14ac:dyDescent="0.25">
      <c r="A2" s="7" t="s">
        <v>9</v>
      </c>
      <c r="B2" s="7">
        <v>2023</v>
      </c>
      <c r="C2" s="7">
        <v>2024</v>
      </c>
      <c r="D2" s="7">
        <v>2025</v>
      </c>
    </row>
    <row r="3" spans="1:4" x14ac:dyDescent="0.25">
      <c r="A3" s="7">
        <v>1</v>
      </c>
      <c r="B3" s="12">
        <v>30.6</v>
      </c>
      <c r="C3" s="12">
        <v>22.5</v>
      </c>
      <c r="D3" s="12">
        <v>24.833333333333332</v>
      </c>
    </row>
    <row r="4" spans="1:4" x14ac:dyDescent="0.25">
      <c r="A4" s="7">
        <v>2</v>
      </c>
      <c r="B4" s="12">
        <v>31</v>
      </c>
      <c r="C4" s="12">
        <v>22.833333333333332</v>
      </c>
      <c r="D4" s="12">
        <v>27.333333333333332</v>
      </c>
    </row>
    <row r="5" spans="1:4" x14ac:dyDescent="0.25">
      <c r="A5" s="7">
        <v>3</v>
      </c>
      <c r="B5" s="12">
        <v>28</v>
      </c>
      <c r="C5" s="12">
        <v>20.8</v>
      </c>
      <c r="D5" s="12">
        <v>26.5</v>
      </c>
    </row>
    <row r="6" spans="1:4" x14ac:dyDescent="0.25">
      <c r="A6" s="7">
        <v>4</v>
      </c>
      <c r="B6" s="12">
        <v>30.5</v>
      </c>
      <c r="C6" s="12">
        <v>21.8</v>
      </c>
      <c r="D6" s="12">
        <v>26.166666666666668</v>
      </c>
    </row>
    <row r="7" spans="1:4" x14ac:dyDescent="0.25">
      <c r="A7" s="7">
        <v>5</v>
      </c>
      <c r="B7" s="12">
        <v>25.2</v>
      </c>
      <c r="C7" s="12">
        <v>22</v>
      </c>
      <c r="D7" s="12">
        <v>26.333333333333332</v>
      </c>
    </row>
    <row r="8" spans="1:4" x14ac:dyDescent="0.25">
      <c r="A8" s="7">
        <v>6</v>
      </c>
      <c r="B8" s="12">
        <v>25.5</v>
      </c>
      <c r="C8" s="12">
        <v>22</v>
      </c>
      <c r="D8" s="12">
        <v>21.8</v>
      </c>
    </row>
    <row r="9" spans="1:4" x14ac:dyDescent="0.25">
      <c r="A9" s="7">
        <v>7</v>
      </c>
      <c r="B9" s="12">
        <v>19</v>
      </c>
      <c r="C9" s="12">
        <v>20.833333333333332</v>
      </c>
      <c r="D9" s="12">
        <v>22.333333333333332</v>
      </c>
    </row>
    <row r="10" spans="1:4" x14ac:dyDescent="0.25">
      <c r="A10" s="7">
        <v>8</v>
      </c>
      <c r="B10" s="12">
        <v>21.6</v>
      </c>
      <c r="C10" s="12">
        <v>22.6</v>
      </c>
      <c r="D10" s="12">
        <v>20.666666666666668</v>
      </c>
    </row>
    <row r="11" spans="1:4" x14ac:dyDescent="0.25">
      <c r="A11" s="7">
        <v>9</v>
      </c>
      <c r="B11" s="12">
        <v>27.4</v>
      </c>
      <c r="C11" s="12">
        <v>21.833333333333332</v>
      </c>
      <c r="D11" s="12">
        <v>23.833333333333332</v>
      </c>
    </row>
    <row r="12" spans="1:4" x14ac:dyDescent="0.25">
      <c r="A12" s="7">
        <v>10</v>
      </c>
      <c r="B12" s="12">
        <v>20.8</v>
      </c>
      <c r="C12" s="12">
        <v>20.5</v>
      </c>
      <c r="D12" s="12">
        <v>21.833333333333332</v>
      </c>
    </row>
    <row r="13" spans="1:4" x14ac:dyDescent="0.25">
      <c r="A13" s="7">
        <v>11</v>
      </c>
      <c r="B13" s="12">
        <v>21.666666666666668</v>
      </c>
      <c r="C13" s="12">
        <v>27.166666666666668</v>
      </c>
      <c r="D13" s="12">
        <v>26.333333333333332</v>
      </c>
    </row>
    <row r="14" spans="1:4" x14ac:dyDescent="0.25">
      <c r="A14" s="7">
        <v>12</v>
      </c>
      <c r="B14" s="12">
        <v>21.666666666666668</v>
      </c>
      <c r="C14" s="12">
        <v>23.333333333333332</v>
      </c>
      <c r="D14" s="12">
        <v>25.5</v>
      </c>
    </row>
    <row r="15" spans="1:4" x14ac:dyDescent="0.25">
      <c r="A15" s="7">
        <v>13</v>
      </c>
      <c r="B15" s="12">
        <v>22.4</v>
      </c>
      <c r="C15" s="12">
        <v>27.666666666666668</v>
      </c>
      <c r="D15" s="12">
        <v>22.833333333333332</v>
      </c>
    </row>
    <row r="16" spans="1:4" x14ac:dyDescent="0.25">
      <c r="A16" s="7">
        <v>14</v>
      </c>
      <c r="B16" s="12">
        <v>22.2</v>
      </c>
      <c r="C16" s="12">
        <v>26</v>
      </c>
      <c r="D16" s="12">
        <v>23.6</v>
      </c>
    </row>
    <row r="17" spans="1:4" x14ac:dyDescent="0.25">
      <c r="A17" s="7">
        <v>15</v>
      </c>
      <c r="B17" s="12">
        <v>22</v>
      </c>
      <c r="C17" s="12">
        <v>21.833333333333332</v>
      </c>
      <c r="D17" s="12">
        <v>22.25</v>
      </c>
    </row>
    <row r="18" spans="1:4" x14ac:dyDescent="0.25">
      <c r="A18" s="7">
        <v>16</v>
      </c>
      <c r="B18" s="12">
        <v>23</v>
      </c>
      <c r="C18" s="12">
        <v>24</v>
      </c>
      <c r="D18" s="12">
        <v>23.75</v>
      </c>
    </row>
    <row r="19" spans="1:4" x14ac:dyDescent="0.25">
      <c r="A19" s="7">
        <v>17</v>
      </c>
      <c r="B19" s="12">
        <v>27.666666666666668</v>
      </c>
      <c r="C19" s="12">
        <v>27.166666666666668</v>
      </c>
      <c r="D19" s="12">
        <v>27.833333333333332</v>
      </c>
    </row>
    <row r="20" spans="1:4" x14ac:dyDescent="0.25">
      <c r="A20" s="7">
        <v>18</v>
      </c>
      <c r="B20" s="12">
        <v>27.75</v>
      </c>
      <c r="C20" s="12">
        <v>24.8</v>
      </c>
      <c r="D20" s="12">
        <v>25</v>
      </c>
    </row>
    <row r="21" spans="1:4" x14ac:dyDescent="0.25">
      <c r="A21" s="7">
        <v>19</v>
      </c>
      <c r="B21" s="12">
        <v>26.6</v>
      </c>
      <c r="C21" s="12">
        <v>24.666666666666668</v>
      </c>
      <c r="D21" s="12">
        <v>27.166666666666668</v>
      </c>
    </row>
    <row r="22" spans="1:4" x14ac:dyDescent="0.25">
      <c r="A22" s="7">
        <v>20</v>
      </c>
      <c r="B22" s="12">
        <v>23</v>
      </c>
      <c r="C22" s="12">
        <v>25.333333333333332</v>
      </c>
      <c r="D22" s="12">
        <v>24.5</v>
      </c>
    </row>
    <row r="23" spans="1:4" x14ac:dyDescent="0.25">
      <c r="A23" s="7">
        <v>21</v>
      </c>
      <c r="B23" s="12">
        <v>26.5</v>
      </c>
      <c r="C23" s="12">
        <v>24</v>
      </c>
      <c r="D23" s="12">
        <v>26</v>
      </c>
    </row>
    <row r="24" spans="1:4" x14ac:dyDescent="0.25">
      <c r="A24" s="7">
        <v>22</v>
      </c>
      <c r="B24" s="12">
        <v>26.5</v>
      </c>
      <c r="C24" s="12">
        <v>26</v>
      </c>
      <c r="D24" s="12">
        <v>25.5</v>
      </c>
    </row>
    <row r="25" spans="1:4" x14ac:dyDescent="0.25">
      <c r="A25" s="7">
        <v>23</v>
      </c>
      <c r="B25" s="12">
        <v>24.666666666666668</v>
      </c>
      <c r="C25" s="12">
        <v>26.666666666666668</v>
      </c>
      <c r="D25" s="12">
        <v>24.333333333333332</v>
      </c>
    </row>
    <row r="26" spans="1:4" x14ac:dyDescent="0.25">
      <c r="A26" s="7">
        <v>24</v>
      </c>
      <c r="B26" s="12">
        <v>25.833333333333332</v>
      </c>
      <c r="C26" s="12">
        <v>27.333333333333332</v>
      </c>
      <c r="D26" s="12">
        <v>26</v>
      </c>
    </row>
    <row r="27" spans="1:4" x14ac:dyDescent="0.25">
      <c r="A27" s="7">
        <v>25</v>
      </c>
      <c r="B27" s="12">
        <v>26</v>
      </c>
      <c r="C27" s="12">
        <v>27.6</v>
      </c>
      <c r="D27" s="12">
        <v>25</v>
      </c>
    </row>
    <row r="28" spans="1:4" x14ac:dyDescent="0.25">
      <c r="A28" s="7">
        <v>26</v>
      </c>
      <c r="B28" s="12">
        <v>26.8</v>
      </c>
      <c r="C28" s="12">
        <v>27</v>
      </c>
      <c r="D28" s="12">
        <v>26.5</v>
      </c>
    </row>
    <row r="29" spans="1:4" x14ac:dyDescent="0.25">
      <c r="A29" s="7">
        <v>27</v>
      </c>
      <c r="B29" s="12">
        <v>27.6</v>
      </c>
      <c r="C29" s="12">
        <v>26.666666666666668</v>
      </c>
      <c r="D29" s="12">
        <v>26.333333333333332</v>
      </c>
    </row>
    <row r="30" spans="1:4" x14ac:dyDescent="0.25">
      <c r="A30" s="7">
        <v>28</v>
      </c>
      <c r="B30" s="12">
        <v>28.166666666666668</v>
      </c>
      <c r="C30" s="12">
        <v>25.666666666666668</v>
      </c>
      <c r="D30" s="12">
        <v>26</v>
      </c>
    </row>
    <row r="31" spans="1:4" x14ac:dyDescent="0.25">
      <c r="A31" s="7">
        <v>29</v>
      </c>
      <c r="B31" s="12">
        <v>28.833333333333332</v>
      </c>
      <c r="C31" s="12">
        <v>25.833333333333332</v>
      </c>
      <c r="D31" s="12">
        <v>27.166666666666668</v>
      </c>
    </row>
    <row r="32" spans="1:4" x14ac:dyDescent="0.25">
      <c r="A32" s="7">
        <v>30</v>
      </c>
      <c r="B32" s="12">
        <v>27.8</v>
      </c>
      <c r="C32" s="12">
        <v>24</v>
      </c>
      <c r="D32" s="12">
        <v>27.166666666666668</v>
      </c>
    </row>
    <row r="33" spans="1:4" x14ac:dyDescent="0.25">
      <c r="A33" s="7">
        <v>31</v>
      </c>
      <c r="B33" s="12">
        <v>27.2</v>
      </c>
      <c r="C33" s="12">
        <v>27.333333333333332</v>
      </c>
      <c r="D33" s="12">
        <v>25.5</v>
      </c>
    </row>
    <row r="34" spans="1:4" x14ac:dyDescent="0.25">
      <c r="A34" s="7">
        <v>32</v>
      </c>
      <c r="B34" s="12">
        <v>28</v>
      </c>
      <c r="C34" s="12">
        <v>32</v>
      </c>
      <c r="D34" s="12">
        <v>26</v>
      </c>
    </row>
    <row r="35" spans="1:4" x14ac:dyDescent="0.25">
      <c r="A35" s="7">
        <v>33</v>
      </c>
      <c r="B35" s="12">
        <v>27.6</v>
      </c>
      <c r="C35" s="12">
        <v>30.333333333333332</v>
      </c>
      <c r="D35" s="12">
        <v>25.666666666666668</v>
      </c>
    </row>
    <row r="36" spans="1:4" x14ac:dyDescent="0.25">
      <c r="A36" s="7">
        <v>34</v>
      </c>
      <c r="B36" s="12">
        <v>28.166666666666668</v>
      </c>
      <c r="C36" s="12">
        <v>29.6</v>
      </c>
      <c r="D36" s="12">
        <v>27.333333333333332</v>
      </c>
    </row>
    <row r="37" spans="1:4" x14ac:dyDescent="0.25">
      <c r="A37" s="7">
        <v>35</v>
      </c>
      <c r="B37" s="12">
        <v>25.4</v>
      </c>
      <c r="C37" s="12">
        <v>32.200000000000003</v>
      </c>
      <c r="D37" s="12">
        <v>27.833333333333332</v>
      </c>
    </row>
    <row r="38" spans="1:4" x14ac:dyDescent="0.25">
      <c r="A38" s="7">
        <v>36</v>
      </c>
      <c r="B38" s="12">
        <v>23.833333333333332</v>
      </c>
      <c r="C38" s="12">
        <v>27.833333333333332</v>
      </c>
      <c r="D38" s="12">
        <v>28.2</v>
      </c>
    </row>
    <row r="39" spans="1:4" x14ac:dyDescent="0.25">
      <c r="A39" s="7">
        <v>37</v>
      </c>
      <c r="B39" s="12">
        <v>20.8</v>
      </c>
      <c r="C39" s="12">
        <v>25.833333333333332</v>
      </c>
      <c r="D39" s="12">
        <v>27.833333333333332</v>
      </c>
    </row>
    <row r="40" spans="1:4" x14ac:dyDescent="0.25">
      <c r="A40" s="7">
        <v>38</v>
      </c>
      <c r="B40" s="12">
        <v>32.166666666666664</v>
      </c>
      <c r="C40" s="12">
        <v>28.75</v>
      </c>
      <c r="D40" s="12">
        <v>26</v>
      </c>
    </row>
    <row r="41" spans="1:4" x14ac:dyDescent="0.25">
      <c r="A41" s="7">
        <v>39</v>
      </c>
      <c r="B41" s="12">
        <v>27</v>
      </c>
      <c r="C41" s="12">
        <v>30.666666666666668</v>
      </c>
      <c r="D41" s="12">
        <v>27.333333333333332</v>
      </c>
    </row>
    <row r="42" spans="1:4" x14ac:dyDescent="0.25">
      <c r="A42" s="7">
        <v>40</v>
      </c>
      <c r="B42" s="12">
        <v>32.5</v>
      </c>
      <c r="C42" s="12">
        <v>26.333333333333332</v>
      </c>
      <c r="D42" s="12">
        <v>27.333333333333332</v>
      </c>
    </row>
    <row r="43" spans="1:4" x14ac:dyDescent="0.25">
      <c r="A43" s="7">
        <v>41</v>
      </c>
      <c r="B43" s="12">
        <v>28.333333333333332</v>
      </c>
      <c r="C43" s="12">
        <v>27.166666666666668</v>
      </c>
      <c r="D43" s="12">
        <v>28.4</v>
      </c>
    </row>
    <row r="44" spans="1:4" x14ac:dyDescent="0.25">
      <c r="A44" s="7">
        <v>42</v>
      </c>
      <c r="B44" s="12">
        <v>24.666666666666668</v>
      </c>
      <c r="C44" s="12">
        <v>26.833333333333332</v>
      </c>
      <c r="D44" s="12">
        <v>28</v>
      </c>
    </row>
    <row r="45" spans="1:4" x14ac:dyDescent="0.25">
      <c r="A45" s="7">
        <v>43</v>
      </c>
      <c r="B45" s="12">
        <v>32.200000000000003</v>
      </c>
      <c r="C45" s="12">
        <v>30.2</v>
      </c>
      <c r="D45" s="12">
        <v>25.5</v>
      </c>
    </row>
    <row r="46" spans="1:4" x14ac:dyDescent="0.25">
      <c r="A46" s="7">
        <v>44</v>
      </c>
      <c r="B46" s="12">
        <v>22.833333333333332</v>
      </c>
      <c r="C46" s="12">
        <v>29.166666666666668</v>
      </c>
      <c r="D46" s="12">
        <v>26.6</v>
      </c>
    </row>
    <row r="47" spans="1:4" x14ac:dyDescent="0.25">
      <c r="A47" s="7">
        <v>45</v>
      </c>
      <c r="B47" s="12">
        <v>24.666666666666668</v>
      </c>
      <c r="C47" s="12">
        <v>26.333333333333332</v>
      </c>
      <c r="D47" s="12">
        <v>24</v>
      </c>
    </row>
    <row r="48" spans="1:4" x14ac:dyDescent="0.25">
      <c r="A48" s="7">
        <v>46</v>
      </c>
      <c r="B48" s="12">
        <v>25</v>
      </c>
      <c r="C48" s="12">
        <v>27.8</v>
      </c>
      <c r="D48" s="12">
        <v>27.5</v>
      </c>
    </row>
    <row r="49" spans="1:4" x14ac:dyDescent="0.25">
      <c r="A49" s="7">
        <v>47</v>
      </c>
      <c r="B49" s="12">
        <v>23.166666666666668</v>
      </c>
      <c r="C49" s="12">
        <v>28.333333333333332</v>
      </c>
      <c r="D49" s="12">
        <v>26</v>
      </c>
    </row>
    <row r="50" spans="1:4" x14ac:dyDescent="0.25">
      <c r="A50" s="7">
        <v>48</v>
      </c>
      <c r="B50" s="12">
        <v>23.166666666666668</v>
      </c>
      <c r="C50" s="12">
        <v>25.333333333333332</v>
      </c>
      <c r="D50" s="12">
        <v>21.333333333333332</v>
      </c>
    </row>
    <row r="51" spans="1:4" x14ac:dyDescent="0.25">
      <c r="A51" s="7">
        <v>49</v>
      </c>
      <c r="B51" s="12">
        <v>23.166666666666668</v>
      </c>
      <c r="C51" s="12">
        <v>26.333333333333332</v>
      </c>
      <c r="D51" s="12">
        <v>25.5</v>
      </c>
    </row>
    <row r="52" spans="1:4" x14ac:dyDescent="0.25">
      <c r="A52" s="7">
        <v>50</v>
      </c>
      <c r="B52" s="12">
        <v>24</v>
      </c>
      <c r="C52" s="12">
        <v>27.4</v>
      </c>
      <c r="D52" s="12">
        <v>25.4</v>
      </c>
    </row>
    <row r="53" spans="1:4" x14ac:dyDescent="0.25">
      <c r="A53" s="7">
        <v>51</v>
      </c>
      <c r="B53" s="12">
        <v>23</v>
      </c>
      <c r="C53" s="12">
        <v>25</v>
      </c>
      <c r="D53" s="12">
        <v>22</v>
      </c>
    </row>
    <row r="54" spans="1:4" x14ac:dyDescent="0.25">
      <c r="A54" s="7">
        <v>52</v>
      </c>
      <c r="B54" s="12">
        <v>20.75</v>
      </c>
      <c r="C54" s="12">
        <v>24.8</v>
      </c>
      <c r="D54" s="12">
        <v>21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selection activeCell="L30" sqref="L30"/>
    </sheetView>
  </sheetViews>
  <sheetFormatPr defaultRowHeight="15" x14ac:dyDescent="0.25"/>
  <cols>
    <col min="1" max="1" width="14.28515625" customWidth="1"/>
  </cols>
  <sheetData>
    <row r="1" spans="1:4" x14ac:dyDescent="0.25">
      <c r="A1" s="7"/>
      <c r="B1" s="27" t="s">
        <v>11</v>
      </c>
      <c r="C1" s="27"/>
      <c r="D1" s="27"/>
    </row>
    <row r="2" spans="1:4" x14ac:dyDescent="0.25">
      <c r="A2" s="7" t="s">
        <v>9</v>
      </c>
      <c r="B2" s="7">
        <v>2023</v>
      </c>
      <c r="C2" s="7">
        <v>2024</v>
      </c>
      <c r="D2" s="7">
        <v>2025</v>
      </c>
    </row>
    <row r="3" spans="1:4" x14ac:dyDescent="0.25">
      <c r="A3" s="7">
        <v>1</v>
      </c>
      <c r="B3" s="11">
        <v>31.8</v>
      </c>
      <c r="C3" s="11">
        <v>33.666666666666664</v>
      </c>
      <c r="D3" s="11">
        <v>32</v>
      </c>
    </row>
    <row r="4" spans="1:4" x14ac:dyDescent="0.25">
      <c r="A4" s="7">
        <v>2</v>
      </c>
      <c r="B4" s="11">
        <v>33</v>
      </c>
      <c r="C4" s="11">
        <v>33</v>
      </c>
      <c r="D4" s="11">
        <v>32.833333333333336</v>
      </c>
    </row>
    <row r="5" spans="1:4" x14ac:dyDescent="0.25">
      <c r="A5" s="7">
        <v>3</v>
      </c>
      <c r="B5" s="11">
        <v>30.666666666666668</v>
      </c>
      <c r="C5" s="11">
        <v>34.4</v>
      </c>
      <c r="D5" s="11">
        <v>32.25</v>
      </c>
    </row>
    <row r="6" spans="1:4" x14ac:dyDescent="0.25">
      <c r="A6" s="7">
        <v>4</v>
      </c>
      <c r="B6" s="11">
        <v>32.5</v>
      </c>
      <c r="C6" s="11">
        <v>34.4</v>
      </c>
      <c r="D6" s="11">
        <v>31.5</v>
      </c>
    </row>
    <row r="7" spans="1:4" x14ac:dyDescent="0.25">
      <c r="A7" s="7">
        <v>5</v>
      </c>
      <c r="B7" s="11">
        <v>30.8</v>
      </c>
      <c r="C7" s="11">
        <v>35.333333333333336</v>
      </c>
      <c r="D7" s="11">
        <v>32.833333333333336</v>
      </c>
    </row>
    <row r="8" spans="1:4" x14ac:dyDescent="0.25">
      <c r="A8" s="7">
        <v>6</v>
      </c>
      <c r="B8" s="11">
        <v>34</v>
      </c>
      <c r="C8" s="11">
        <v>35.333333333333336</v>
      </c>
      <c r="D8" s="11">
        <v>34.200000000000003</v>
      </c>
    </row>
    <row r="9" spans="1:4" x14ac:dyDescent="0.25">
      <c r="A9" s="7">
        <v>7</v>
      </c>
      <c r="B9" s="11">
        <v>35.5</v>
      </c>
      <c r="C9" s="11">
        <v>35</v>
      </c>
      <c r="D9" s="11">
        <v>34</v>
      </c>
    </row>
    <row r="10" spans="1:4" x14ac:dyDescent="0.25">
      <c r="A10" s="7">
        <v>8</v>
      </c>
      <c r="B10" s="11">
        <v>36</v>
      </c>
      <c r="C10" s="11">
        <v>36.4</v>
      </c>
      <c r="D10" s="11">
        <v>34.833333333333336</v>
      </c>
    </row>
    <row r="11" spans="1:4" x14ac:dyDescent="0.25">
      <c r="A11" s="7">
        <v>9</v>
      </c>
      <c r="B11" s="11">
        <v>32.6</v>
      </c>
      <c r="C11" s="11">
        <v>35.833333333333336</v>
      </c>
      <c r="D11" s="11">
        <v>35.333333333333336</v>
      </c>
    </row>
    <row r="12" spans="1:4" x14ac:dyDescent="0.25">
      <c r="A12" s="7">
        <v>10</v>
      </c>
      <c r="B12" s="11">
        <v>33.6</v>
      </c>
      <c r="C12" s="11">
        <v>36.333333333333336</v>
      </c>
      <c r="D12" s="11">
        <v>35.333333333333336</v>
      </c>
    </row>
    <row r="13" spans="1:4" x14ac:dyDescent="0.25">
      <c r="A13" s="7">
        <v>11</v>
      </c>
      <c r="B13" s="11">
        <v>35.666666666666664</v>
      </c>
      <c r="C13" s="11">
        <v>37.333333333333336</v>
      </c>
      <c r="D13" s="11">
        <v>33</v>
      </c>
    </row>
    <row r="14" spans="1:4" x14ac:dyDescent="0.25">
      <c r="A14" s="7">
        <v>12</v>
      </c>
      <c r="B14" s="11">
        <v>35.333333333333336</v>
      </c>
      <c r="C14" s="11">
        <v>36.666666666666664</v>
      </c>
      <c r="D14" s="11">
        <v>36.833333333333336</v>
      </c>
    </row>
    <row r="15" spans="1:4" x14ac:dyDescent="0.25">
      <c r="A15" s="7">
        <v>13</v>
      </c>
      <c r="B15" s="11">
        <v>36.4</v>
      </c>
      <c r="C15" s="11">
        <v>35.666666666666664</v>
      </c>
      <c r="D15" s="11">
        <v>35.5</v>
      </c>
    </row>
    <row r="16" spans="1:4" x14ac:dyDescent="0.25">
      <c r="A16" s="7">
        <v>14</v>
      </c>
      <c r="B16" s="11">
        <v>34.799999999999997</v>
      </c>
      <c r="C16" s="11">
        <v>35</v>
      </c>
      <c r="D16" s="11">
        <v>34</v>
      </c>
    </row>
    <row r="17" spans="1:4" x14ac:dyDescent="0.25">
      <c r="A17" s="7">
        <v>15</v>
      </c>
      <c r="B17" s="11">
        <v>36.5</v>
      </c>
      <c r="C17" s="11">
        <v>33.200000000000003</v>
      </c>
      <c r="D17" s="11">
        <v>34.25</v>
      </c>
    </row>
    <row r="18" spans="1:4" x14ac:dyDescent="0.25">
      <c r="A18" s="7">
        <v>16</v>
      </c>
      <c r="B18" s="11">
        <v>36.799999999999997</v>
      </c>
      <c r="C18" s="11">
        <v>35.166666666666664</v>
      </c>
      <c r="D18" s="11">
        <v>33.5</v>
      </c>
    </row>
    <row r="19" spans="1:4" x14ac:dyDescent="0.25">
      <c r="A19" s="7">
        <v>17</v>
      </c>
      <c r="B19" s="11">
        <v>35.833333333333336</v>
      </c>
      <c r="C19" s="11">
        <v>36.666666666666664</v>
      </c>
      <c r="D19" s="11">
        <v>33.666666666666664</v>
      </c>
    </row>
    <row r="20" spans="1:4" x14ac:dyDescent="0.25">
      <c r="A20" s="7">
        <v>18</v>
      </c>
      <c r="B20" s="11">
        <v>32</v>
      </c>
      <c r="C20" s="11">
        <v>36.6</v>
      </c>
      <c r="D20" s="11">
        <v>32.200000000000003</v>
      </c>
    </row>
    <row r="21" spans="1:4" x14ac:dyDescent="0.25">
      <c r="A21" s="7">
        <v>19</v>
      </c>
      <c r="B21" s="11">
        <v>32.6</v>
      </c>
      <c r="C21" s="11">
        <v>35.666666666666664</v>
      </c>
      <c r="D21" s="11">
        <v>34.333333333333336</v>
      </c>
    </row>
    <row r="22" spans="1:4" x14ac:dyDescent="0.25">
      <c r="A22" s="7">
        <v>20</v>
      </c>
      <c r="B22" s="11">
        <v>34.833333333333336</v>
      </c>
      <c r="C22" s="11">
        <v>35.666666666666664</v>
      </c>
      <c r="D22" s="11">
        <v>31.833333333333332</v>
      </c>
    </row>
    <row r="23" spans="1:4" x14ac:dyDescent="0.25">
      <c r="A23" s="7">
        <v>21</v>
      </c>
      <c r="B23" s="11">
        <v>33</v>
      </c>
      <c r="C23" s="11">
        <v>32.5</v>
      </c>
      <c r="D23" s="11">
        <v>31.166666666666668</v>
      </c>
    </row>
    <row r="24" spans="1:4" x14ac:dyDescent="0.25">
      <c r="A24" s="7">
        <v>22</v>
      </c>
      <c r="B24" s="11">
        <v>32.25</v>
      </c>
      <c r="C24" s="11">
        <v>30.666666666666668</v>
      </c>
      <c r="D24" s="11">
        <v>31.666666666666668</v>
      </c>
    </row>
    <row r="25" spans="1:4" x14ac:dyDescent="0.25">
      <c r="A25" s="7">
        <v>23</v>
      </c>
      <c r="B25" s="11">
        <v>30.333333333333332</v>
      </c>
      <c r="C25" s="11">
        <v>32.333333333333336</v>
      </c>
      <c r="D25" s="11">
        <v>31.666666666666668</v>
      </c>
    </row>
    <row r="26" spans="1:4" x14ac:dyDescent="0.25">
      <c r="A26" s="7">
        <v>24</v>
      </c>
      <c r="B26" s="11">
        <v>31.5</v>
      </c>
      <c r="C26" s="11">
        <v>33.333333333333336</v>
      </c>
      <c r="D26" s="11">
        <v>32</v>
      </c>
    </row>
    <row r="27" spans="1:4" x14ac:dyDescent="0.25">
      <c r="A27" s="7">
        <v>25</v>
      </c>
      <c r="B27" s="11">
        <v>32.833333333333336</v>
      </c>
      <c r="C27" s="11">
        <v>32</v>
      </c>
      <c r="D27" s="11">
        <v>31.5</v>
      </c>
    </row>
    <row r="28" spans="1:4" x14ac:dyDescent="0.25">
      <c r="A28" s="7">
        <v>26</v>
      </c>
      <c r="B28" s="11">
        <v>31.6</v>
      </c>
      <c r="C28" s="11">
        <v>33.833333333333336</v>
      </c>
      <c r="D28" s="11">
        <v>32.833333333333336</v>
      </c>
    </row>
    <row r="29" spans="1:4" x14ac:dyDescent="0.25">
      <c r="A29" s="7">
        <v>27</v>
      </c>
      <c r="B29" s="11">
        <v>33.200000000000003</v>
      </c>
      <c r="C29" s="11">
        <v>33.666666666666664</v>
      </c>
      <c r="D29" s="11">
        <v>33.333333333333336</v>
      </c>
    </row>
    <row r="30" spans="1:4" x14ac:dyDescent="0.25">
      <c r="A30" s="7">
        <v>28</v>
      </c>
      <c r="B30" s="11">
        <v>32.333333333333336</v>
      </c>
      <c r="C30" s="11">
        <v>33</v>
      </c>
      <c r="D30" s="11">
        <v>32.200000000000003</v>
      </c>
    </row>
    <row r="31" spans="1:4" x14ac:dyDescent="0.25">
      <c r="A31" s="7">
        <v>29</v>
      </c>
      <c r="B31" s="11">
        <v>33.666666666666664</v>
      </c>
      <c r="C31" s="11">
        <v>35.333333333333336</v>
      </c>
      <c r="D31" s="11">
        <v>34.166666666666664</v>
      </c>
    </row>
    <row r="32" spans="1:4" x14ac:dyDescent="0.25">
      <c r="A32" s="7">
        <v>30</v>
      </c>
      <c r="B32" s="11">
        <v>32.4</v>
      </c>
      <c r="C32" s="11">
        <v>35.666666666666664</v>
      </c>
      <c r="D32" s="11">
        <v>32.5</v>
      </c>
    </row>
    <row r="33" spans="1:4" x14ac:dyDescent="0.25">
      <c r="A33" s="7">
        <v>31</v>
      </c>
      <c r="B33" s="11">
        <v>35.6</v>
      </c>
      <c r="C33" s="11">
        <v>35.166666666666664</v>
      </c>
      <c r="D33" s="11">
        <v>33.166666666666664</v>
      </c>
    </row>
    <row r="34" spans="1:4" x14ac:dyDescent="0.25">
      <c r="A34" s="7">
        <v>32</v>
      </c>
      <c r="B34" s="11">
        <v>35.5</v>
      </c>
      <c r="C34" s="11">
        <v>35.666666666666664</v>
      </c>
      <c r="D34" s="11">
        <v>32.799999999999997</v>
      </c>
    </row>
    <row r="35" spans="1:4" x14ac:dyDescent="0.25">
      <c r="A35" s="7">
        <v>33</v>
      </c>
      <c r="B35" s="11">
        <v>34.6</v>
      </c>
      <c r="C35" s="11">
        <v>34.833333333333336</v>
      </c>
      <c r="D35" s="11">
        <v>31.333333333333332</v>
      </c>
    </row>
    <row r="36" spans="1:4" x14ac:dyDescent="0.25">
      <c r="A36" s="7">
        <v>34</v>
      </c>
      <c r="B36" s="11">
        <v>35.333333333333336</v>
      </c>
      <c r="C36" s="11">
        <v>35.799999999999997</v>
      </c>
      <c r="D36" s="11">
        <v>33.166666666666664</v>
      </c>
    </row>
    <row r="37" spans="1:4" x14ac:dyDescent="0.25">
      <c r="A37" s="7">
        <v>35</v>
      </c>
      <c r="B37" s="11">
        <v>32.4</v>
      </c>
      <c r="C37" s="11">
        <v>37</v>
      </c>
      <c r="D37" s="11">
        <v>35.333333333333336</v>
      </c>
    </row>
    <row r="38" spans="1:4" x14ac:dyDescent="0.25">
      <c r="A38" s="7">
        <v>36</v>
      </c>
      <c r="B38" s="11">
        <v>29.833333333333332</v>
      </c>
      <c r="C38" s="11">
        <v>33.666666666666664</v>
      </c>
      <c r="D38" s="11">
        <v>32.6</v>
      </c>
    </row>
    <row r="39" spans="1:4" x14ac:dyDescent="0.25">
      <c r="A39" s="7">
        <v>37</v>
      </c>
      <c r="B39" s="11">
        <v>30.2</v>
      </c>
      <c r="C39" s="11">
        <v>35.333333333333336</v>
      </c>
      <c r="D39" s="11">
        <v>32.5</v>
      </c>
    </row>
    <row r="40" spans="1:4" x14ac:dyDescent="0.25">
      <c r="A40" s="7">
        <v>38</v>
      </c>
      <c r="B40" s="11">
        <v>34.833333333333336</v>
      </c>
      <c r="C40" s="11">
        <v>34.5</v>
      </c>
      <c r="D40" s="11">
        <v>31.666666666666668</v>
      </c>
    </row>
    <row r="41" spans="1:4" x14ac:dyDescent="0.25">
      <c r="A41" s="7">
        <v>39</v>
      </c>
      <c r="B41" s="11">
        <v>32</v>
      </c>
      <c r="C41" s="11">
        <v>36</v>
      </c>
      <c r="D41" s="11">
        <v>32.833333333333336</v>
      </c>
    </row>
    <row r="42" spans="1:4" x14ac:dyDescent="0.25">
      <c r="A42" s="7">
        <v>40</v>
      </c>
      <c r="B42" s="11">
        <v>35.833333333333336</v>
      </c>
      <c r="C42" s="11">
        <v>32.833333333333336</v>
      </c>
      <c r="D42" s="11">
        <v>30.666666666666668</v>
      </c>
    </row>
    <row r="43" spans="1:4" x14ac:dyDescent="0.25">
      <c r="A43" s="7">
        <v>41</v>
      </c>
      <c r="B43" s="11">
        <v>34.666666666666664</v>
      </c>
      <c r="C43" s="11">
        <v>33.166666666666664</v>
      </c>
      <c r="D43" s="11">
        <v>35</v>
      </c>
    </row>
    <row r="44" spans="1:4" x14ac:dyDescent="0.25">
      <c r="A44" s="7">
        <v>42</v>
      </c>
      <c r="B44" s="11">
        <v>33.833333333333336</v>
      </c>
      <c r="C44" s="11">
        <v>32.166666666666664</v>
      </c>
      <c r="D44" s="11">
        <v>34.666666666666664</v>
      </c>
    </row>
    <row r="45" spans="1:4" x14ac:dyDescent="0.25">
      <c r="A45" s="7">
        <v>43</v>
      </c>
      <c r="B45" s="11">
        <v>35.6</v>
      </c>
      <c r="C45" s="11">
        <v>35.166666666666664</v>
      </c>
      <c r="D45" s="11">
        <v>32.5</v>
      </c>
    </row>
    <row r="46" spans="1:4" x14ac:dyDescent="0.25">
      <c r="A46" s="7">
        <v>44</v>
      </c>
      <c r="B46" s="11">
        <v>35.166666666666664</v>
      </c>
      <c r="C46" s="11">
        <v>34.5</v>
      </c>
      <c r="D46" s="11">
        <v>31.6</v>
      </c>
    </row>
    <row r="47" spans="1:4" x14ac:dyDescent="0.25">
      <c r="A47" s="7">
        <v>45</v>
      </c>
      <c r="B47" s="11">
        <v>34</v>
      </c>
      <c r="C47" s="11">
        <v>32.333333333333336</v>
      </c>
      <c r="D47" s="11">
        <v>32.4</v>
      </c>
    </row>
    <row r="48" spans="1:4" x14ac:dyDescent="0.25">
      <c r="A48" s="7">
        <v>46</v>
      </c>
      <c r="B48" s="11">
        <v>34</v>
      </c>
      <c r="C48" s="11">
        <v>33.6</v>
      </c>
      <c r="D48" s="11">
        <v>32.333333333333336</v>
      </c>
    </row>
    <row r="49" spans="1:4" x14ac:dyDescent="0.25">
      <c r="A49" s="7">
        <v>47</v>
      </c>
      <c r="B49" s="11">
        <v>34.833333333333336</v>
      </c>
      <c r="C49" s="11">
        <v>34.5</v>
      </c>
      <c r="D49" s="11">
        <v>32</v>
      </c>
    </row>
    <row r="50" spans="1:4" x14ac:dyDescent="0.25">
      <c r="A50" s="7">
        <v>48</v>
      </c>
      <c r="B50" s="11">
        <v>33.333333333333336</v>
      </c>
      <c r="C50" s="11">
        <v>30.333333333333332</v>
      </c>
      <c r="D50" s="11">
        <v>26.666666666666668</v>
      </c>
    </row>
    <row r="51" spans="1:4" x14ac:dyDescent="0.25">
      <c r="A51" s="7">
        <v>49</v>
      </c>
      <c r="B51" s="11">
        <v>32.833333333333336</v>
      </c>
      <c r="C51" s="11">
        <v>36</v>
      </c>
      <c r="D51" s="11">
        <v>33.666666666666664</v>
      </c>
    </row>
    <row r="52" spans="1:4" x14ac:dyDescent="0.25">
      <c r="A52" s="7">
        <v>50</v>
      </c>
      <c r="B52" s="11">
        <v>33</v>
      </c>
      <c r="C52" s="11">
        <v>35.4</v>
      </c>
      <c r="D52" s="11">
        <v>34.75</v>
      </c>
    </row>
    <row r="53" spans="1:4" x14ac:dyDescent="0.25">
      <c r="A53" s="7">
        <v>51</v>
      </c>
      <c r="B53" s="11">
        <v>34.166666666666664</v>
      </c>
      <c r="C53" s="11">
        <v>32.333333333333336</v>
      </c>
      <c r="D53" s="11">
        <v>32</v>
      </c>
    </row>
    <row r="54" spans="1:4" x14ac:dyDescent="0.25">
      <c r="A54" s="7">
        <v>52</v>
      </c>
      <c r="B54" s="11">
        <v>34.75</v>
      </c>
      <c r="C54" s="11">
        <v>33.6</v>
      </c>
      <c r="D54" s="11">
        <v>34.25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workbookViewId="0">
      <selection activeCell="A13" sqref="A13:A14"/>
    </sheetView>
  </sheetViews>
  <sheetFormatPr defaultRowHeight="15" x14ac:dyDescent="0.25"/>
  <cols>
    <col min="1" max="1" width="14.28515625" customWidth="1"/>
  </cols>
  <sheetData>
    <row r="1" spans="1:4" x14ac:dyDescent="0.25">
      <c r="A1" s="7"/>
      <c r="B1" s="27" t="s">
        <v>11</v>
      </c>
      <c r="C1" s="27"/>
      <c r="D1" s="27"/>
    </row>
    <row r="2" spans="1:4" x14ac:dyDescent="0.25">
      <c r="A2" s="7" t="s">
        <v>9</v>
      </c>
      <c r="B2" s="7">
        <v>2023</v>
      </c>
      <c r="C2" s="7">
        <v>2024</v>
      </c>
      <c r="D2" s="7">
        <v>2025</v>
      </c>
    </row>
    <row r="3" spans="1:4" x14ac:dyDescent="0.25">
      <c r="A3" s="7">
        <v>1</v>
      </c>
      <c r="B3" s="11">
        <v>1.1999999999999993</v>
      </c>
      <c r="C3" s="11">
        <v>11.166666666666664</v>
      </c>
      <c r="D3" s="11">
        <v>7.1666666666666679</v>
      </c>
    </row>
    <row r="4" spans="1:4" x14ac:dyDescent="0.25">
      <c r="A4" s="7">
        <v>2</v>
      </c>
      <c r="B4" s="11">
        <v>2</v>
      </c>
      <c r="C4" s="11">
        <v>10.166666666666668</v>
      </c>
      <c r="D4" s="11">
        <v>5.5000000000000036</v>
      </c>
    </row>
    <row r="5" spans="1:4" x14ac:dyDescent="0.25">
      <c r="A5" s="7">
        <v>3</v>
      </c>
      <c r="B5" s="11">
        <v>2.6666666666666679</v>
      </c>
      <c r="C5" s="11">
        <v>13.599999999999998</v>
      </c>
      <c r="D5" s="11">
        <v>5.75</v>
      </c>
    </row>
    <row r="6" spans="1:4" x14ac:dyDescent="0.25">
      <c r="A6" s="7">
        <v>4</v>
      </c>
      <c r="B6" s="11">
        <v>2</v>
      </c>
      <c r="C6" s="11">
        <v>12.599999999999998</v>
      </c>
      <c r="D6" s="11">
        <v>5.3333333333333321</v>
      </c>
    </row>
    <row r="7" spans="1:4" x14ac:dyDescent="0.25">
      <c r="A7" s="7">
        <v>5</v>
      </c>
      <c r="B7" s="11">
        <v>5.6000000000000014</v>
      </c>
      <c r="C7" s="11">
        <v>13.333333333333336</v>
      </c>
      <c r="D7" s="11">
        <v>6.5000000000000036</v>
      </c>
    </row>
    <row r="8" spans="1:4" x14ac:dyDescent="0.25">
      <c r="A8" s="7">
        <v>6</v>
      </c>
      <c r="B8" s="11">
        <v>8.5</v>
      </c>
      <c r="C8" s="11">
        <v>13.333333333333336</v>
      </c>
      <c r="D8" s="11">
        <v>12.400000000000002</v>
      </c>
    </row>
    <row r="9" spans="1:4" x14ac:dyDescent="0.25">
      <c r="A9" s="7">
        <v>7</v>
      </c>
      <c r="B9" s="11">
        <v>16.5</v>
      </c>
      <c r="C9" s="11">
        <v>14.166666666666668</v>
      </c>
      <c r="D9" s="11">
        <v>11.666666666666668</v>
      </c>
    </row>
    <row r="10" spans="1:4" x14ac:dyDescent="0.25">
      <c r="A10" s="7">
        <v>8</v>
      </c>
      <c r="B10" s="11">
        <v>14.399999999999999</v>
      </c>
      <c r="C10" s="11">
        <v>13.799999999999997</v>
      </c>
      <c r="D10" s="11">
        <v>14.166666666666668</v>
      </c>
    </row>
    <row r="11" spans="1:4" x14ac:dyDescent="0.25">
      <c r="A11" s="7">
        <v>9</v>
      </c>
      <c r="B11" s="11">
        <v>5.2000000000000028</v>
      </c>
      <c r="C11" s="11">
        <v>14.000000000000004</v>
      </c>
      <c r="D11" s="11">
        <v>11.500000000000004</v>
      </c>
    </row>
    <row r="12" spans="1:4" x14ac:dyDescent="0.25">
      <c r="A12" s="7">
        <v>10</v>
      </c>
      <c r="B12" s="11">
        <v>12.8</v>
      </c>
      <c r="C12" s="11">
        <v>15.833333333333336</v>
      </c>
      <c r="D12" s="11">
        <v>13.500000000000004</v>
      </c>
    </row>
    <row r="13" spans="1:4" x14ac:dyDescent="0.25">
      <c r="A13" s="7">
        <v>11</v>
      </c>
      <c r="B13" s="11">
        <v>13.999999999999996</v>
      </c>
      <c r="C13" s="11">
        <v>10.166666666666668</v>
      </c>
      <c r="D13" s="11">
        <v>6.6666666666666679</v>
      </c>
    </row>
    <row r="14" spans="1:4" x14ac:dyDescent="0.25">
      <c r="A14" s="7">
        <v>12</v>
      </c>
      <c r="B14" s="11">
        <v>13.666666666666668</v>
      </c>
      <c r="C14" s="11">
        <v>13.333333333333332</v>
      </c>
      <c r="D14" s="11">
        <v>11.333333333333336</v>
      </c>
    </row>
    <row r="15" spans="1:4" x14ac:dyDescent="0.25">
      <c r="A15" s="7">
        <v>13</v>
      </c>
      <c r="B15" s="11">
        <v>14</v>
      </c>
      <c r="C15" s="11">
        <v>7.9999999999999964</v>
      </c>
      <c r="D15" s="11">
        <v>12.666666666666668</v>
      </c>
    </row>
    <row r="16" spans="1:4" x14ac:dyDescent="0.25">
      <c r="A16" s="7">
        <v>14</v>
      </c>
      <c r="B16" s="11">
        <v>12.599999999999998</v>
      </c>
      <c r="C16" s="11">
        <v>9</v>
      </c>
      <c r="D16" s="11">
        <v>10.399999999999999</v>
      </c>
    </row>
    <row r="17" spans="1:4" x14ac:dyDescent="0.25">
      <c r="A17" s="7">
        <v>15</v>
      </c>
      <c r="B17" s="11">
        <v>14.5</v>
      </c>
      <c r="C17" s="11">
        <v>11.366666666666671</v>
      </c>
      <c r="D17" s="11">
        <v>12</v>
      </c>
    </row>
    <row r="18" spans="1:4" x14ac:dyDescent="0.25">
      <c r="A18" s="7">
        <v>16</v>
      </c>
      <c r="B18" s="11">
        <v>13.799999999999997</v>
      </c>
      <c r="C18" s="11">
        <v>11.166666666666664</v>
      </c>
      <c r="D18" s="11">
        <v>9.75</v>
      </c>
    </row>
    <row r="19" spans="1:4" x14ac:dyDescent="0.25">
      <c r="A19" s="7">
        <v>17</v>
      </c>
      <c r="B19" s="11">
        <v>8.1666666666666679</v>
      </c>
      <c r="C19" s="11">
        <v>9.4999999999999964</v>
      </c>
      <c r="D19" s="11">
        <v>5.8333333333333321</v>
      </c>
    </row>
    <row r="20" spans="1:4" x14ac:dyDescent="0.25">
      <c r="A20" s="7">
        <v>18</v>
      </c>
      <c r="B20" s="11">
        <v>4.25</v>
      </c>
      <c r="C20" s="11">
        <v>11.8</v>
      </c>
      <c r="D20" s="11">
        <v>7.2000000000000028</v>
      </c>
    </row>
    <row r="21" spans="1:4" x14ac:dyDescent="0.25">
      <c r="A21" s="7">
        <v>19</v>
      </c>
      <c r="B21" s="11">
        <v>6</v>
      </c>
      <c r="C21" s="11">
        <v>10.999999999999996</v>
      </c>
      <c r="D21" s="11">
        <v>7.1666666666666679</v>
      </c>
    </row>
    <row r="22" spans="1:4" x14ac:dyDescent="0.25">
      <c r="A22" s="7">
        <v>20</v>
      </c>
      <c r="B22" s="11">
        <v>11.833333333333336</v>
      </c>
      <c r="C22" s="11">
        <v>10.333333333333332</v>
      </c>
      <c r="D22" s="11">
        <v>7.3333333333333321</v>
      </c>
    </row>
    <row r="23" spans="1:4" x14ac:dyDescent="0.25">
      <c r="A23" s="7">
        <v>21</v>
      </c>
      <c r="B23" s="11">
        <v>6.5</v>
      </c>
      <c r="C23" s="11">
        <v>8.5</v>
      </c>
      <c r="D23" s="11">
        <v>5.1666666666666679</v>
      </c>
    </row>
    <row r="24" spans="1:4" x14ac:dyDescent="0.25">
      <c r="A24" s="7">
        <v>22</v>
      </c>
      <c r="B24" s="11">
        <v>5.75</v>
      </c>
      <c r="C24" s="11">
        <v>4.6666666666666679</v>
      </c>
      <c r="D24" s="11">
        <v>6.1666666666666679</v>
      </c>
    </row>
    <row r="25" spans="1:4" x14ac:dyDescent="0.25">
      <c r="A25" s="7">
        <v>23</v>
      </c>
      <c r="B25" s="11">
        <v>5.6666666666666643</v>
      </c>
      <c r="C25" s="11">
        <v>5.6666666666666679</v>
      </c>
      <c r="D25" s="11">
        <v>7.3333333333333357</v>
      </c>
    </row>
    <row r="26" spans="1:4" x14ac:dyDescent="0.25">
      <c r="A26" s="7">
        <v>24</v>
      </c>
      <c r="B26" s="11">
        <v>5.6666666666666679</v>
      </c>
      <c r="C26" s="11">
        <v>6.0000000000000036</v>
      </c>
      <c r="D26" s="11">
        <v>6</v>
      </c>
    </row>
    <row r="27" spans="1:4" x14ac:dyDescent="0.25">
      <c r="A27" s="7">
        <v>25</v>
      </c>
      <c r="B27" s="11">
        <v>6.8333333333333357</v>
      </c>
      <c r="C27" s="11">
        <v>4.3999999999999986</v>
      </c>
      <c r="D27" s="11">
        <v>6.5</v>
      </c>
    </row>
    <row r="28" spans="1:4" x14ac:dyDescent="0.25">
      <c r="A28" s="7">
        <v>26</v>
      </c>
      <c r="B28" s="11">
        <v>4.8000000000000007</v>
      </c>
      <c r="C28" s="11">
        <v>6.8333333333333357</v>
      </c>
      <c r="D28" s="11">
        <v>6.3333333333333357</v>
      </c>
    </row>
    <row r="29" spans="1:4" x14ac:dyDescent="0.25">
      <c r="A29" s="7">
        <v>27</v>
      </c>
      <c r="B29" s="11">
        <v>5.6000000000000014</v>
      </c>
      <c r="C29" s="11">
        <v>6.9999999999999964</v>
      </c>
      <c r="D29" s="11">
        <v>7.0000000000000036</v>
      </c>
    </row>
    <row r="30" spans="1:4" x14ac:dyDescent="0.25">
      <c r="A30" s="7">
        <v>28</v>
      </c>
      <c r="B30" s="11">
        <v>4.1666666666666679</v>
      </c>
      <c r="C30" s="11">
        <v>7.3333333333333321</v>
      </c>
      <c r="D30" s="11">
        <v>6.2000000000000028</v>
      </c>
    </row>
    <row r="31" spans="1:4" x14ac:dyDescent="0.25">
      <c r="A31" s="7">
        <v>29</v>
      </c>
      <c r="B31" s="11">
        <v>4.8333333333333321</v>
      </c>
      <c r="C31" s="11">
        <v>9.5000000000000036</v>
      </c>
      <c r="D31" s="11">
        <v>6.9999999999999964</v>
      </c>
    </row>
    <row r="32" spans="1:4" x14ac:dyDescent="0.25">
      <c r="A32" s="7">
        <v>30</v>
      </c>
      <c r="B32" s="11">
        <v>4.5999999999999979</v>
      </c>
      <c r="C32" s="11">
        <v>11.666666666666664</v>
      </c>
      <c r="D32" s="11">
        <v>5.3333333333333321</v>
      </c>
    </row>
    <row r="33" spans="1:4" x14ac:dyDescent="0.25">
      <c r="A33" s="7">
        <v>31</v>
      </c>
      <c r="B33" s="11">
        <v>8.4000000000000021</v>
      </c>
      <c r="C33" s="11">
        <v>7.8333333333333321</v>
      </c>
      <c r="D33" s="11">
        <v>7.6666666666666643</v>
      </c>
    </row>
    <row r="34" spans="1:4" x14ac:dyDescent="0.25">
      <c r="A34" s="7">
        <v>32</v>
      </c>
      <c r="B34" s="11">
        <v>7.5</v>
      </c>
      <c r="C34" s="11">
        <v>3.6666666666666643</v>
      </c>
      <c r="D34" s="11">
        <v>6.7999999999999972</v>
      </c>
    </row>
    <row r="35" spans="1:4" x14ac:dyDescent="0.25">
      <c r="A35" s="7">
        <v>33</v>
      </c>
      <c r="B35" s="11">
        <v>7</v>
      </c>
      <c r="C35" s="11">
        <v>4.5000000000000036</v>
      </c>
      <c r="D35" s="11">
        <v>5.6666666666666643</v>
      </c>
    </row>
    <row r="36" spans="1:4" x14ac:dyDescent="0.25">
      <c r="A36" s="7">
        <v>34</v>
      </c>
      <c r="B36" s="11">
        <v>7.1666666666666679</v>
      </c>
      <c r="C36" s="11">
        <v>6.1999999999999957</v>
      </c>
      <c r="D36" s="11">
        <v>5.8333333333333321</v>
      </c>
    </row>
    <row r="37" spans="1:4" x14ac:dyDescent="0.25">
      <c r="A37" s="7">
        <v>35</v>
      </c>
      <c r="B37" s="11">
        <v>7</v>
      </c>
      <c r="C37" s="11">
        <v>4.7999999999999972</v>
      </c>
      <c r="D37" s="11">
        <v>7.5000000000000036</v>
      </c>
    </row>
    <row r="38" spans="1:4" x14ac:dyDescent="0.25">
      <c r="A38" s="7">
        <v>36</v>
      </c>
      <c r="B38" s="11">
        <v>6</v>
      </c>
      <c r="C38" s="11">
        <v>5.8333333333333321</v>
      </c>
      <c r="D38" s="11">
        <v>4.4000000000000021</v>
      </c>
    </row>
    <row r="39" spans="1:4" x14ac:dyDescent="0.25">
      <c r="A39" s="7">
        <v>37</v>
      </c>
      <c r="B39" s="11">
        <v>9.3999999999999986</v>
      </c>
      <c r="C39" s="11">
        <v>9.5000000000000036</v>
      </c>
      <c r="D39" s="11">
        <v>4.6666666666666679</v>
      </c>
    </row>
    <row r="40" spans="1:4" x14ac:dyDescent="0.25">
      <c r="A40" s="7">
        <v>38</v>
      </c>
      <c r="B40" s="11">
        <v>2.6666666666666714</v>
      </c>
      <c r="C40" s="11">
        <v>5.75</v>
      </c>
      <c r="D40" s="11">
        <v>5.6666666666666679</v>
      </c>
    </row>
    <row r="41" spans="1:4" x14ac:dyDescent="0.25">
      <c r="A41" s="7">
        <v>39</v>
      </c>
      <c r="B41" s="11">
        <v>5</v>
      </c>
      <c r="C41" s="11">
        <v>5.3333333333333321</v>
      </c>
      <c r="D41" s="11">
        <v>5.5000000000000036</v>
      </c>
    </row>
    <row r="42" spans="1:4" x14ac:dyDescent="0.25">
      <c r="A42" s="7">
        <v>40</v>
      </c>
      <c r="B42" s="11">
        <v>3.3333333333333357</v>
      </c>
      <c r="C42" s="11">
        <v>6.5000000000000036</v>
      </c>
      <c r="D42" s="11">
        <v>3.3333333333333357</v>
      </c>
    </row>
    <row r="43" spans="1:4" x14ac:dyDescent="0.25">
      <c r="A43" s="7">
        <v>41</v>
      </c>
      <c r="B43" s="11">
        <v>6.3333333333333321</v>
      </c>
      <c r="C43" s="11">
        <v>5.9999999999999964</v>
      </c>
      <c r="D43" s="11">
        <v>6.6000000000000014</v>
      </c>
    </row>
    <row r="44" spans="1:4" x14ac:dyDescent="0.25">
      <c r="A44" s="7">
        <v>42</v>
      </c>
      <c r="B44" s="11">
        <v>9.1666666666666679</v>
      </c>
      <c r="C44" s="11">
        <v>5.3333333333333321</v>
      </c>
      <c r="D44" s="11">
        <v>6.6666666666666643</v>
      </c>
    </row>
    <row r="45" spans="1:4" x14ac:dyDescent="0.25">
      <c r="A45" s="7">
        <v>43</v>
      </c>
      <c r="B45" s="11">
        <v>3.3999999999999986</v>
      </c>
      <c r="C45" s="11">
        <v>4.966666666666665</v>
      </c>
      <c r="D45" s="11">
        <v>7</v>
      </c>
    </row>
    <row r="46" spans="1:4" x14ac:dyDescent="0.25">
      <c r="A46" s="7">
        <v>44</v>
      </c>
      <c r="B46" s="11">
        <v>12.333333333333332</v>
      </c>
      <c r="C46" s="11">
        <v>5.3333333333333321</v>
      </c>
      <c r="D46" s="11">
        <v>5</v>
      </c>
    </row>
    <row r="47" spans="1:4" x14ac:dyDescent="0.25">
      <c r="A47" s="7">
        <v>45</v>
      </c>
      <c r="B47" s="11">
        <v>9.3333333333333321</v>
      </c>
      <c r="C47" s="11">
        <v>6.0000000000000036</v>
      </c>
      <c r="D47" s="11">
        <v>8.3999999999999986</v>
      </c>
    </row>
    <row r="48" spans="1:4" x14ac:dyDescent="0.25">
      <c r="A48" s="7">
        <v>46</v>
      </c>
      <c r="B48" s="11">
        <v>9</v>
      </c>
      <c r="C48" s="11">
        <v>5.8000000000000007</v>
      </c>
      <c r="D48" s="11">
        <v>4.8333333333333357</v>
      </c>
    </row>
    <row r="49" spans="1:4" x14ac:dyDescent="0.25">
      <c r="A49" s="7">
        <v>47</v>
      </c>
      <c r="B49" s="11">
        <v>11.666666666666668</v>
      </c>
      <c r="C49" s="11">
        <v>6.1666666666666679</v>
      </c>
      <c r="D49" s="11">
        <v>6</v>
      </c>
    </row>
    <row r="50" spans="1:4" x14ac:dyDescent="0.25">
      <c r="A50" s="7">
        <v>48</v>
      </c>
      <c r="B50" s="11">
        <v>10.166666666666668</v>
      </c>
      <c r="C50" s="11">
        <v>5</v>
      </c>
      <c r="D50" s="11">
        <v>5.3333333333333357</v>
      </c>
    </row>
    <row r="51" spans="1:4" x14ac:dyDescent="0.25">
      <c r="A51" s="7">
        <v>49</v>
      </c>
      <c r="B51" s="11">
        <v>9.6666666666666679</v>
      </c>
      <c r="C51" s="11">
        <v>9.6666666666666679</v>
      </c>
      <c r="D51" s="11">
        <v>8.1666666666666643</v>
      </c>
    </row>
    <row r="52" spans="1:4" x14ac:dyDescent="0.25">
      <c r="A52" s="7">
        <v>50</v>
      </c>
      <c r="B52" s="11">
        <v>9</v>
      </c>
      <c r="C52" s="11">
        <v>8</v>
      </c>
      <c r="D52" s="11">
        <v>9.3500000000000014</v>
      </c>
    </row>
    <row r="53" spans="1:4" x14ac:dyDescent="0.25">
      <c r="A53" s="7">
        <v>51</v>
      </c>
      <c r="B53" s="11">
        <v>11.166666666666664</v>
      </c>
      <c r="C53" s="11">
        <v>7.3333333333333357</v>
      </c>
      <c r="D53" s="11">
        <v>10</v>
      </c>
    </row>
    <row r="54" spans="1:4" x14ac:dyDescent="0.25">
      <c r="A54" s="7">
        <v>52</v>
      </c>
      <c r="B54" s="11">
        <v>14</v>
      </c>
      <c r="C54" s="11">
        <v>8.8000000000000007</v>
      </c>
      <c r="D54" s="11">
        <v>13.25</v>
      </c>
    </row>
  </sheetData>
  <mergeCells count="1">
    <mergeCell ref="B1:D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I55"/>
  <sheetViews>
    <sheetView workbookViewId="0">
      <selection activeCell="G28" sqref="G28"/>
    </sheetView>
  </sheetViews>
  <sheetFormatPr defaultRowHeight="15" x14ac:dyDescent="0.25"/>
  <cols>
    <col min="1" max="1" width="13.140625" customWidth="1"/>
    <col min="2" max="2" width="14" customWidth="1"/>
    <col min="3" max="3" width="14.5703125" customWidth="1"/>
    <col min="4" max="4" width="14.7109375" customWidth="1"/>
    <col min="5" max="5" width="14.5703125" customWidth="1"/>
    <col min="6" max="6" width="15.28515625" customWidth="1"/>
    <col min="7" max="7" width="14" customWidth="1"/>
    <col min="8" max="8" width="13.85546875" customWidth="1"/>
    <col min="9" max="9" width="12.28515625" customWidth="1"/>
  </cols>
  <sheetData>
    <row r="2" spans="1:9" ht="3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8" t="s">
        <v>8</v>
      </c>
    </row>
    <row r="3" spans="1:9" x14ac:dyDescent="0.25">
      <c r="A3" s="2">
        <v>2025</v>
      </c>
      <c r="B3" s="2">
        <v>1</v>
      </c>
      <c r="C3" s="3"/>
      <c r="D3" s="13">
        <v>20</v>
      </c>
      <c r="E3" s="3">
        <v>1</v>
      </c>
      <c r="F3" s="13">
        <v>33</v>
      </c>
      <c r="G3" s="3">
        <v>0</v>
      </c>
      <c r="H3" s="3">
        <v>0</v>
      </c>
      <c r="I3" s="7">
        <v>54</v>
      </c>
    </row>
    <row r="4" spans="1:9" hidden="1" x14ac:dyDescent="0.25">
      <c r="A4" s="4"/>
      <c r="B4" s="2">
        <v>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7">
        <v>0</v>
      </c>
    </row>
    <row r="5" spans="1:9" x14ac:dyDescent="0.25">
      <c r="A5" s="4"/>
      <c r="B5" s="2">
        <v>3</v>
      </c>
      <c r="C5" s="3">
        <v>0</v>
      </c>
      <c r="D5" s="3">
        <v>0</v>
      </c>
      <c r="E5" s="13">
        <v>54</v>
      </c>
      <c r="F5" s="3">
        <v>0</v>
      </c>
      <c r="G5" s="13">
        <v>20</v>
      </c>
      <c r="H5" s="3">
        <v>0</v>
      </c>
      <c r="I5" s="7">
        <v>74</v>
      </c>
    </row>
    <row r="6" spans="1:9" x14ac:dyDescent="0.25">
      <c r="A6" s="4"/>
      <c r="B6" s="2">
        <v>4</v>
      </c>
      <c r="C6" s="13">
        <v>49</v>
      </c>
      <c r="D6" s="3">
        <v>1</v>
      </c>
      <c r="E6" s="3">
        <v>2.5</v>
      </c>
      <c r="F6" s="3">
        <v>0</v>
      </c>
      <c r="G6" s="3">
        <v>0</v>
      </c>
      <c r="H6" s="13">
        <v>38</v>
      </c>
      <c r="I6" s="7">
        <v>90.5</v>
      </c>
    </row>
    <row r="7" spans="1:9" hidden="1" x14ac:dyDescent="0.25">
      <c r="A7" s="4"/>
      <c r="B7" s="2">
        <v>5</v>
      </c>
      <c r="C7" s="3">
        <v>0</v>
      </c>
      <c r="D7" s="3">
        <v>0</v>
      </c>
      <c r="E7" s="3">
        <v>0</v>
      </c>
      <c r="F7" s="3">
        <v>18</v>
      </c>
      <c r="G7" s="3">
        <v>0</v>
      </c>
      <c r="H7" s="3">
        <v>9</v>
      </c>
      <c r="I7" s="7">
        <v>27</v>
      </c>
    </row>
    <row r="8" spans="1:9" hidden="1" x14ac:dyDescent="0.25">
      <c r="A8" s="4"/>
      <c r="B8" s="2">
        <v>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7">
        <v>0</v>
      </c>
    </row>
    <row r="9" spans="1:9" hidden="1" x14ac:dyDescent="0.25">
      <c r="A9" s="4"/>
      <c r="B9" s="2">
        <v>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7">
        <v>0</v>
      </c>
    </row>
    <row r="10" spans="1:9" hidden="1" x14ac:dyDescent="0.25">
      <c r="A10" s="4"/>
      <c r="B10" s="2">
        <v>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7">
        <v>0</v>
      </c>
    </row>
    <row r="11" spans="1:9" hidden="1" x14ac:dyDescent="0.25">
      <c r="A11" s="4"/>
      <c r="B11" s="2">
        <v>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7">
        <v>0</v>
      </c>
    </row>
    <row r="12" spans="1:9" x14ac:dyDescent="0.25">
      <c r="A12" s="4"/>
      <c r="B12" s="2">
        <v>10</v>
      </c>
      <c r="C12" s="13">
        <v>57</v>
      </c>
      <c r="D12" s="3">
        <v>0</v>
      </c>
      <c r="E12" s="3">
        <v>0</v>
      </c>
      <c r="F12" s="3">
        <v>0</v>
      </c>
      <c r="G12" s="3">
        <v>0</v>
      </c>
      <c r="H12" s="3">
        <v>15</v>
      </c>
      <c r="I12" s="7">
        <v>72</v>
      </c>
    </row>
    <row r="13" spans="1:9" hidden="1" x14ac:dyDescent="0.25">
      <c r="A13" s="4"/>
      <c r="B13" s="2">
        <v>11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7">
        <v>0</v>
      </c>
    </row>
    <row r="14" spans="1:9" x14ac:dyDescent="0.25">
      <c r="A14" s="4"/>
      <c r="B14" s="2">
        <v>12</v>
      </c>
      <c r="C14" s="3">
        <v>2.5</v>
      </c>
      <c r="D14" s="3">
        <v>0</v>
      </c>
      <c r="E14" s="3">
        <v>0</v>
      </c>
      <c r="F14" s="13">
        <v>34</v>
      </c>
      <c r="G14" s="3">
        <v>0</v>
      </c>
      <c r="H14" s="3">
        <v>0</v>
      </c>
      <c r="I14" s="7">
        <v>36.5</v>
      </c>
    </row>
    <row r="15" spans="1:9" hidden="1" x14ac:dyDescent="0.25">
      <c r="A15" s="4"/>
      <c r="B15" s="2">
        <v>13</v>
      </c>
      <c r="C15" s="3">
        <v>6</v>
      </c>
      <c r="D15" s="3">
        <v>0</v>
      </c>
      <c r="E15" s="3">
        <v>0</v>
      </c>
      <c r="F15" s="3">
        <v>21.5</v>
      </c>
      <c r="G15" s="3">
        <v>0</v>
      </c>
      <c r="H15" s="3">
        <v>0</v>
      </c>
      <c r="I15" s="7">
        <v>27.5</v>
      </c>
    </row>
    <row r="16" spans="1:9" hidden="1" x14ac:dyDescent="0.25">
      <c r="A16" s="4"/>
      <c r="B16" s="2">
        <v>14</v>
      </c>
      <c r="C16" s="3">
        <v>0</v>
      </c>
      <c r="D16" s="3">
        <v>0</v>
      </c>
      <c r="E16" s="3">
        <v>0</v>
      </c>
      <c r="F16" s="3">
        <v>27</v>
      </c>
      <c r="G16" s="3">
        <v>0</v>
      </c>
      <c r="H16" s="3">
        <v>0</v>
      </c>
      <c r="I16" s="7">
        <v>27</v>
      </c>
    </row>
    <row r="17" spans="1:9" x14ac:dyDescent="0.25">
      <c r="A17" s="4"/>
      <c r="B17" s="2">
        <v>15</v>
      </c>
      <c r="C17" s="13">
        <v>58</v>
      </c>
      <c r="D17" s="3">
        <v>9</v>
      </c>
      <c r="E17" s="3">
        <v>0</v>
      </c>
      <c r="F17" s="3">
        <v>8</v>
      </c>
      <c r="G17" s="3">
        <v>0</v>
      </c>
      <c r="H17" s="3">
        <v>0</v>
      </c>
      <c r="I17" s="7">
        <v>75</v>
      </c>
    </row>
    <row r="18" spans="1:9" hidden="1" x14ac:dyDescent="0.25">
      <c r="A18" s="4"/>
      <c r="B18" s="2">
        <v>16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7">
        <v>0</v>
      </c>
    </row>
    <row r="19" spans="1:9" hidden="1" x14ac:dyDescent="0.25">
      <c r="A19" s="4"/>
      <c r="B19" s="2">
        <v>17</v>
      </c>
      <c r="C19" s="3">
        <v>0</v>
      </c>
      <c r="D19" s="3">
        <v>3</v>
      </c>
      <c r="E19" s="3">
        <v>0</v>
      </c>
      <c r="F19" s="3">
        <v>0</v>
      </c>
      <c r="G19" s="3">
        <v>0</v>
      </c>
      <c r="H19" s="3">
        <v>0</v>
      </c>
      <c r="I19" s="7">
        <v>3</v>
      </c>
    </row>
    <row r="20" spans="1:9" x14ac:dyDescent="0.25">
      <c r="A20" s="4"/>
      <c r="B20" s="2">
        <v>18</v>
      </c>
      <c r="C20" s="3">
        <v>0</v>
      </c>
      <c r="D20" s="13">
        <v>90</v>
      </c>
      <c r="E20" s="3">
        <v>0</v>
      </c>
      <c r="F20" s="3">
        <v>0</v>
      </c>
      <c r="G20" s="3">
        <v>12</v>
      </c>
      <c r="H20" s="3">
        <v>3</v>
      </c>
      <c r="I20" s="7">
        <v>105</v>
      </c>
    </row>
    <row r="21" spans="1:9" hidden="1" x14ac:dyDescent="0.25">
      <c r="A21" s="4"/>
      <c r="B21" s="2">
        <v>19</v>
      </c>
      <c r="C21" s="3">
        <v>0</v>
      </c>
      <c r="D21" s="3">
        <v>0</v>
      </c>
      <c r="E21" s="3">
        <v>0</v>
      </c>
      <c r="F21" s="3">
        <v>8</v>
      </c>
      <c r="G21" s="3">
        <v>0</v>
      </c>
      <c r="H21" s="3">
        <v>0</v>
      </c>
      <c r="I21" s="7">
        <v>8</v>
      </c>
    </row>
    <row r="22" spans="1:9" hidden="1" x14ac:dyDescent="0.25">
      <c r="A22" s="4"/>
      <c r="B22" s="2">
        <v>20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7">
        <v>0</v>
      </c>
    </row>
    <row r="23" spans="1:9" x14ac:dyDescent="0.25">
      <c r="A23" s="4"/>
      <c r="B23" s="2">
        <v>21</v>
      </c>
      <c r="C23" s="13">
        <v>65</v>
      </c>
      <c r="D23" s="13">
        <v>56</v>
      </c>
      <c r="E23" s="3">
        <v>0</v>
      </c>
      <c r="F23" s="3">
        <v>1</v>
      </c>
      <c r="G23" s="3">
        <v>0</v>
      </c>
      <c r="H23" s="3">
        <v>9</v>
      </c>
      <c r="I23" s="7">
        <v>131</v>
      </c>
    </row>
    <row r="24" spans="1:9" x14ac:dyDescent="0.25">
      <c r="A24" s="4"/>
      <c r="B24" s="2">
        <v>22</v>
      </c>
      <c r="C24" s="3">
        <v>0</v>
      </c>
      <c r="D24" s="13">
        <v>68</v>
      </c>
      <c r="E24" s="3">
        <v>9</v>
      </c>
      <c r="F24" s="3">
        <v>1</v>
      </c>
      <c r="G24" s="3">
        <v>0</v>
      </c>
      <c r="H24" s="3">
        <v>0</v>
      </c>
      <c r="I24" s="7">
        <v>78</v>
      </c>
    </row>
    <row r="25" spans="1:9" hidden="1" x14ac:dyDescent="0.25">
      <c r="A25" s="4"/>
      <c r="B25" s="2">
        <v>23</v>
      </c>
      <c r="C25" s="3">
        <v>0</v>
      </c>
      <c r="D25" s="3">
        <v>15</v>
      </c>
      <c r="E25" s="3">
        <v>0</v>
      </c>
      <c r="F25" s="3">
        <v>0</v>
      </c>
      <c r="G25" s="3">
        <v>0</v>
      </c>
      <c r="H25" s="3">
        <v>7</v>
      </c>
      <c r="I25" s="7">
        <v>22</v>
      </c>
    </row>
    <row r="26" spans="1:9" x14ac:dyDescent="0.25">
      <c r="A26" s="4"/>
      <c r="B26" s="2">
        <v>24</v>
      </c>
      <c r="C26" s="3">
        <v>0</v>
      </c>
      <c r="D26" s="3">
        <v>0</v>
      </c>
      <c r="E26" s="3">
        <v>0</v>
      </c>
      <c r="F26" s="13">
        <v>52</v>
      </c>
      <c r="G26" s="3">
        <v>4</v>
      </c>
      <c r="H26" s="3">
        <v>0</v>
      </c>
      <c r="I26" s="7">
        <v>56</v>
      </c>
    </row>
    <row r="27" spans="1:9" x14ac:dyDescent="0.25">
      <c r="A27" s="4"/>
      <c r="B27" s="2">
        <v>25</v>
      </c>
      <c r="C27" s="13">
        <v>60</v>
      </c>
      <c r="D27" s="3">
        <v>5</v>
      </c>
      <c r="E27" s="3">
        <v>0</v>
      </c>
      <c r="F27" s="3">
        <v>0</v>
      </c>
      <c r="G27" s="3">
        <v>10</v>
      </c>
      <c r="H27" s="3">
        <v>0</v>
      </c>
      <c r="I27" s="7">
        <v>75</v>
      </c>
    </row>
    <row r="28" spans="1:9" x14ac:dyDescent="0.25">
      <c r="A28" s="4"/>
      <c r="B28" s="2">
        <v>26</v>
      </c>
      <c r="C28" s="3">
        <v>0</v>
      </c>
      <c r="D28" s="3">
        <v>0</v>
      </c>
      <c r="E28" s="13">
        <v>22</v>
      </c>
      <c r="F28" s="3">
        <v>0</v>
      </c>
      <c r="G28" s="3">
        <v>8</v>
      </c>
      <c r="H28" s="3">
        <v>4</v>
      </c>
      <c r="I28" s="7">
        <v>34</v>
      </c>
    </row>
    <row r="29" spans="1:9" hidden="1" x14ac:dyDescent="0.25">
      <c r="A29" s="4"/>
      <c r="B29" s="2">
        <v>27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7">
        <v>0</v>
      </c>
    </row>
    <row r="30" spans="1:9" hidden="1" x14ac:dyDescent="0.25">
      <c r="A30" s="4"/>
      <c r="B30" s="2">
        <v>28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7">
        <v>0</v>
      </c>
    </row>
    <row r="31" spans="1:9" hidden="1" x14ac:dyDescent="0.25">
      <c r="A31" s="4"/>
      <c r="B31" s="2">
        <v>29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7">
        <v>0</v>
      </c>
    </row>
    <row r="32" spans="1:9" x14ac:dyDescent="0.25">
      <c r="A32" s="4"/>
      <c r="B32" s="2">
        <v>30</v>
      </c>
      <c r="C32" s="3">
        <v>5</v>
      </c>
      <c r="D32" s="3">
        <v>17</v>
      </c>
      <c r="E32" s="3">
        <v>13</v>
      </c>
      <c r="F32" s="3">
        <v>3</v>
      </c>
      <c r="G32" s="3">
        <v>0</v>
      </c>
      <c r="H32" s="13">
        <v>20</v>
      </c>
      <c r="I32" s="7">
        <v>58</v>
      </c>
    </row>
    <row r="33" spans="1:9" hidden="1" x14ac:dyDescent="0.25">
      <c r="A33" s="4"/>
      <c r="B33" s="2">
        <v>31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7">
        <v>0</v>
      </c>
    </row>
    <row r="34" spans="1:9" x14ac:dyDescent="0.25">
      <c r="A34" s="4"/>
      <c r="B34" s="2">
        <v>32</v>
      </c>
      <c r="C34" s="13">
        <v>34</v>
      </c>
      <c r="D34" s="3">
        <v>9</v>
      </c>
      <c r="E34" s="3">
        <v>0</v>
      </c>
      <c r="F34" s="3">
        <v>0</v>
      </c>
      <c r="G34" s="3">
        <v>0</v>
      </c>
      <c r="H34" s="3">
        <v>0</v>
      </c>
      <c r="I34" s="7">
        <v>43</v>
      </c>
    </row>
    <row r="35" spans="1:9" hidden="1" x14ac:dyDescent="0.25">
      <c r="A35" s="4"/>
      <c r="B35" s="2">
        <v>33</v>
      </c>
      <c r="C35" s="3">
        <v>13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7">
        <v>13</v>
      </c>
    </row>
    <row r="36" spans="1:9" hidden="1" x14ac:dyDescent="0.25">
      <c r="A36" s="4"/>
      <c r="B36" s="2">
        <v>34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7">
        <v>0</v>
      </c>
    </row>
    <row r="37" spans="1:9" hidden="1" x14ac:dyDescent="0.25">
      <c r="A37" s="4"/>
      <c r="B37" s="2">
        <v>35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3</v>
      </c>
      <c r="I37" s="7">
        <v>3</v>
      </c>
    </row>
    <row r="38" spans="1:9" hidden="1" x14ac:dyDescent="0.25">
      <c r="A38" s="4"/>
      <c r="B38" s="2">
        <v>36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7">
        <v>0</v>
      </c>
    </row>
    <row r="39" spans="1:9" x14ac:dyDescent="0.25">
      <c r="A39" s="4"/>
      <c r="B39" s="2">
        <v>37</v>
      </c>
      <c r="C39" s="3">
        <v>0</v>
      </c>
      <c r="D39" s="13">
        <v>58</v>
      </c>
      <c r="E39" s="3">
        <v>2</v>
      </c>
      <c r="F39" s="3">
        <v>0</v>
      </c>
      <c r="G39" s="3">
        <v>0</v>
      </c>
      <c r="H39" s="3">
        <v>0</v>
      </c>
      <c r="I39" s="7">
        <v>60</v>
      </c>
    </row>
    <row r="40" spans="1:9" hidden="1" x14ac:dyDescent="0.25">
      <c r="A40" s="4"/>
      <c r="B40" s="2">
        <v>38</v>
      </c>
      <c r="C40" s="3">
        <v>0</v>
      </c>
      <c r="D40" s="3">
        <v>0</v>
      </c>
      <c r="E40" s="3">
        <v>27</v>
      </c>
      <c r="F40" s="3">
        <v>0</v>
      </c>
      <c r="G40" s="3">
        <v>0</v>
      </c>
      <c r="H40" s="3">
        <v>0</v>
      </c>
      <c r="I40" s="7">
        <v>27</v>
      </c>
    </row>
    <row r="41" spans="1:9" hidden="1" x14ac:dyDescent="0.25">
      <c r="A41" s="4"/>
      <c r="B41" s="2">
        <v>39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7">
        <v>0</v>
      </c>
    </row>
    <row r="42" spans="1:9" hidden="1" x14ac:dyDescent="0.25">
      <c r="A42" s="4"/>
      <c r="B42" s="2">
        <v>40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7">
        <v>0</v>
      </c>
    </row>
    <row r="43" spans="1:9" hidden="1" x14ac:dyDescent="0.25">
      <c r="A43" s="4"/>
      <c r="B43" s="2">
        <v>41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7">
        <v>0</v>
      </c>
    </row>
    <row r="44" spans="1:9" x14ac:dyDescent="0.25">
      <c r="A44" s="4"/>
      <c r="B44" s="2">
        <v>42</v>
      </c>
      <c r="C44" s="13">
        <v>89</v>
      </c>
      <c r="D44" s="13">
        <v>86</v>
      </c>
      <c r="E44" s="13">
        <v>92</v>
      </c>
      <c r="F44" s="13">
        <v>27</v>
      </c>
      <c r="G44" s="13">
        <v>49</v>
      </c>
      <c r="H44" s="13">
        <v>46</v>
      </c>
      <c r="I44" s="7">
        <v>389</v>
      </c>
    </row>
    <row r="45" spans="1:9" x14ac:dyDescent="0.25">
      <c r="A45" s="4"/>
      <c r="B45" s="2">
        <v>43</v>
      </c>
      <c r="C45" s="13">
        <v>137</v>
      </c>
      <c r="D45" s="13">
        <v>47</v>
      </c>
      <c r="E45" s="3">
        <v>16</v>
      </c>
      <c r="F45" s="13">
        <v>27</v>
      </c>
      <c r="G45" s="13">
        <v>20</v>
      </c>
      <c r="H45" s="3">
        <v>0</v>
      </c>
      <c r="I45" s="7">
        <v>247</v>
      </c>
    </row>
    <row r="46" spans="1:9" hidden="1" x14ac:dyDescent="0.25">
      <c r="A46" s="4"/>
      <c r="B46" s="2">
        <v>44</v>
      </c>
      <c r="C46" s="3">
        <v>3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7">
        <v>3</v>
      </c>
    </row>
    <row r="47" spans="1:9" x14ac:dyDescent="0.25">
      <c r="A47" s="4"/>
      <c r="B47" s="2">
        <v>45</v>
      </c>
      <c r="C47" s="3">
        <v>0</v>
      </c>
      <c r="D47" s="3">
        <v>0</v>
      </c>
      <c r="E47" s="3">
        <v>0</v>
      </c>
      <c r="F47" s="3">
        <v>12</v>
      </c>
      <c r="G47" s="3">
        <v>19</v>
      </c>
      <c r="H47" s="3">
        <v>0</v>
      </c>
      <c r="I47" s="7">
        <v>31</v>
      </c>
    </row>
    <row r="48" spans="1:9" x14ac:dyDescent="0.25">
      <c r="A48" s="4"/>
      <c r="B48" s="2">
        <v>46</v>
      </c>
      <c r="C48" s="13">
        <v>35</v>
      </c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7">
        <v>36</v>
      </c>
    </row>
    <row r="49" spans="1:9" x14ac:dyDescent="0.25">
      <c r="A49" s="4"/>
      <c r="B49" s="2">
        <v>47</v>
      </c>
      <c r="C49" s="3">
        <v>0</v>
      </c>
      <c r="D49" s="13">
        <v>112</v>
      </c>
      <c r="E49" s="3">
        <v>0</v>
      </c>
      <c r="F49" s="3">
        <v>0</v>
      </c>
      <c r="G49" s="3">
        <v>0</v>
      </c>
      <c r="H49" s="3">
        <v>0</v>
      </c>
      <c r="I49" s="7">
        <v>112</v>
      </c>
    </row>
    <row r="50" spans="1:9" x14ac:dyDescent="0.25">
      <c r="A50" s="4"/>
      <c r="B50" s="2">
        <v>48</v>
      </c>
      <c r="C50" s="3">
        <v>0</v>
      </c>
      <c r="D50" s="3">
        <v>0</v>
      </c>
      <c r="E50" s="13">
        <v>38</v>
      </c>
      <c r="F50" s="13">
        <v>107</v>
      </c>
      <c r="G50" s="13">
        <v>197</v>
      </c>
      <c r="H50" s="13">
        <v>188</v>
      </c>
      <c r="I50" s="7">
        <v>530</v>
      </c>
    </row>
    <row r="51" spans="1:9" hidden="1" x14ac:dyDescent="0.25">
      <c r="A51" s="4"/>
      <c r="B51" s="2">
        <v>49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7">
        <v>0</v>
      </c>
    </row>
    <row r="52" spans="1:9" hidden="1" x14ac:dyDescent="0.25">
      <c r="A52" s="4"/>
      <c r="B52" s="2">
        <v>50</v>
      </c>
      <c r="C52" s="3">
        <v>12</v>
      </c>
      <c r="D52" s="3">
        <v>0</v>
      </c>
      <c r="E52" s="3">
        <v>0</v>
      </c>
      <c r="F52" s="3">
        <v>0</v>
      </c>
      <c r="G52" s="3">
        <v>0</v>
      </c>
      <c r="H52" s="3">
        <v>3</v>
      </c>
      <c r="I52" s="7">
        <v>15</v>
      </c>
    </row>
    <row r="53" spans="1:9" hidden="1" x14ac:dyDescent="0.25">
      <c r="A53" s="4"/>
      <c r="B53" s="2">
        <v>51</v>
      </c>
      <c r="C53" s="3">
        <v>0</v>
      </c>
      <c r="D53" s="3">
        <v>0</v>
      </c>
      <c r="E53" s="3">
        <v>0</v>
      </c>
      <c r="F53" s="3">
        <v>20</v>
      </c>
      <c r="G53" s="3"/>
      <c r="H53" s="3"/>
      <c r="I53" s="7">
        <v>20</v>
      </c>
    </row>
    <row r="54" spans="1:9" hidden="1" x14ac:dyDescent="0.25">
      <c r="A54" s="4"/>
      <c r="B54" s="2">
        <v>52</v>
      </c>
      <c r="C54" s="3"/>
      <c r="D54" s="3"/>
      <c r="E54" s="3"/>
      <c r="F54" s="3"/>
      <c r="G54" s="3"/>
      <c r="H54" s="3"/>
      <c r="I54" s="7">
        <v>0</v>
      </c>
    </row>
    <row r="55" spans="1:9" x14ac:dyDescent="0.25">
      <c r="C55" s="14">
        <v>9</v>
      </c>
      <c r="D55" s="14">
        <v>8</v>
      </c>
      <c r="E55" s="14">
        <v>4</v>
      </c>
      <c r="F55" s="14">
        <v>6</v>
      </c>
      <c r="G55" s="14">
        <v>4</v>
      </c>
      <c r="H55" s="14">
        <v>4</v>
      </c>
    </row>
  </sheetData>
  <autoFilter ref="A2:I54">
    <filterColumn colId="8">
      <filters>
        <filter val="105"/>
        <filter val="112"/>
        <filter val="131"/>
        <filter val="247"/>
        <filter val="31"/>
        <filter val="34"/>
        <filter val="36"/>
        <filter val="36.5"/>
        <filter val="389"/>
        <filter val="43"/>
        <filter val="530"/>
        <filter val="54"/>
        <filter val="56"/>
        <filter val="58"/>
        <filter val="60"/>
        <filter val="72"/>
        <filter val="74"/>
        <filter val="75"/>
        <filter val="78"/>
        <filter val="90.5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I55"/>
  <sheetViews>
    <sheetView workbookViewId="0">
      <selection activeCell="B53" sqref="B53"/>
    </sheetView>
  </sheetViews>
  <sheetFormatPr defaultRowHeight="15" x14ac:dyDescent="0.25"/>
  <cols>
    <col min="1" max="1" width="13.140625" customWidth="1"/>
    <col min="2" max="2" width="14" customWidth="1"/>
    <col min="3" max="3" width="14.5703125" customWidth="1"/>
    <col min="4" max="4" width="14.7109375" customWidth="1"/>
    <col min="5" max="5" width="14.5703125" customWidth="1"/>
    <col min="6" max="6" width="15.28515625" customWidth="1"/>
    <col min="7" max="7" width="14" customWidth="1"/>
    <col min="8" max="8" width="13.85546875" customWidth="1"/>
    <col min="9" max="9" width="12.28515625" customWidth="1"/>
  </cols>
  <sheetData>
    <row r="2" spans="1:9" ht="3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8" t="s">
        <v>8</v>
      </c>
    </row>
    <row r="3" spans="1:9" x14ac:dyDescent="0.25">
      <c r="A3" s="2">
        <v>2025</v>
      </c>
      <c r="B3" s="2">
        <v>1</v>
      </c>
      <c r="C3" s="3"/>
      <c r="D3" s="13">
        <v>20</v>
      </c>
      <c r="E3" s="3">
        <v>1</v>
      </c>
      <c r="F3" s="13">
        <v>33</v>
      </c>
      <c r="G3" s="3">
        <v>0</v>
      </c>
      <c r="H3" s="3">
        <v>0</v>
      </c>
      <c r="I3" s="7">
        <v>54</v>
      </c>
    </row>
    <row r="4" spans="1:9" hidden="1" x14ac:dyDescent="0.25">
      <c r="A4" s="4"/>
      <c r="B4" s="2">
        <v>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7">
        <v>0</v>
      </c>
    </row>
    <row r="5" spans="1:9" x14ac:dyDescent="0.25">
      <c r="A5" s="4"/>
      <c r="B5" s="2">
        <v>3</v>
      </c>
      <c r="C5" s="3">
        <v>0</v>
      </c>
      <c r="D5" s="3">
        <v>0</v>
      </c>
      <c r="E5" s="13">
        <v>54</v>
      </c>
      <c r="F5" s="3">
        <v>0</v>
      </c>
      <c r="G5" s="13">
        <v>20</v>
      </c>
      <c r="H5" s="3">
        <v>0</v>
      </c>
      <c r="I5" s="7">
        <v>74</v>
      </c>
    </row>
    <row r="6" spans="1:9" x14ac:dyDescent="0.25">
      <c r="A6" s="4"/>
      <c r="B6" s="2">
        <v>4</v>
      </c>
      <c r="C6" s="13">
        <v>49</v>
      </c>
      <c r="D6" s="3">
        <v>1</v>
      </c>
      <c r="E6" s="3">
        <v>2.5</v>
      </c>
      <c r="F6" s="3">
        <v>0</v>
      </c>
      <c r="G6" s="3">
        <v>0</v>
      </c>
      <c r="H6" s="13">
        <v>38</v>
      </c>
      <c r="I6" s="7">
        <v>90.5</v>
      </c>
    </row>
    <row r="7" spans="1:9" x14ac:dyDescent="0.25">
      <c r="A7" s="4"/>
      <c r="B7" s="15">
        <v>5</v>
      </c>
      <c r="C7" s="3">
        <v>0</v>
      </c>
      <c r="D7" s="3">
        <v>0</v>
      </c>
      <c r="E7" s="3">
        <v>0</v>
      </c>
      <c r="F7" s="3">
        <v>18</v>
      </c>
      <c r="G7" s="3">
        <v>0</v>
      </c>
      <c r="H7" s="3">
        <v>9</v>
      </c>
      <c r="I7" s="7">
        <v>27</v>
      </c>
    </row>
    <row r="8" spans="1:9" hidden="1" x14ac:dyDescent="0.25">
      <c r="A8" s="4"/>
      <c r="B8" s="2">
        <v>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7">
        <v>0</v>
      </c>
    </row>
    <row r="9" spans="1:9" hidden="1" x14ac:dyDescent="0.25">
      <c r="A9" s="4"/>
      <c r="B9" s="2">
        <v>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7">
        <v>0</v>
      </c>
    </row>
    <row r="10" spans="1:9" hidden="1" x14ac:dyDescent="0.25">
      <c r="A10" s="4"/>
      <c r="B10" s="2">
        <v>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7">
        <v>0</v>
      </c>
    </row>
    <row r="11" spans="1:9" hidden="1" x14ac:dyDescent="0.25">
      <c r="A11" s="4"/>
      <c r="B11" s="2">
        <v>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7">
        <v>0</v>
      </c>
    </row>
    <row r="12" spans="1:9" x14ac:dyDescent="0.25">
      <c r="A12" s="4"/>
      <c r="B12" s="2">
        <v>10</v>
      </c>
      <c r="C12" s="13">
        <v>57</v>
      </c>
      <c r="D12" s="3">
        <v>0</v>
      </c>
      <c r="E12" s="3">
        <v>0</v>
      </c>
      <c r="F12" s="3">
        <v>0</v>
      </c>
      <c r="G12" s="3">
        <v>0</v>
      </c>
      <c r="H12" s="3">
        <v>15</v>
      </c>
      <c r="I12" s="7">
        <v>72</v>
      </c>
    </row>
    <row r="13" spans="1:9" hidden="1" x14ac:dyDescent="0.25">
      <c r="A13" s="4"/>
      <c r="B13" s="2">
        <v>11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7">
        <v>0</v>
      </c>
    </row>
    <row r="14" spans="1:9" x14ac:dyDescent="0.25">
      <c r="A14" s="4"/>
      <c r="B14" s="2">
        <v>12</v>
      </c>
      <c r="C14" s="3">
        <v>2.5</v>
      </c>
      <c r="D14" s="3">
        <v>0</v>
      </c>
      <c r="E14" s="3">
        <v>0</v>
      </c>
      <c r="F14" s="13">
        <v>34</v>
      </c>
      <c r="G14" s="3">
        <v>0</v>
      </c>
      <c r="H14" s="3">
        <v>0</v>
      </c>
      <c r="I14" s="7">
        <v>36.5</v>
      </c>
    </row>
    <row r="15" spans="1:9" x14ac:dyDescent="0.25">
      <c r="A15" s="4"/>
      <c r="B15" s="15">
        <v>13</v>
      </c>
      <c r="C15" s="3">
        <v>6</v>
      </c>
      <c r="D15" s="3">
        <v>0</v>
      </c>
      <c r="E15" s="3">
        <v>0</v>
      </c>
      <c r="F15" s="3">
        <v>21.5</v>
      </c>
      <c r="G15" s="3">
        <v>0</v>
      </c>
      <c r="H15" s="3">
        <v>0</v>
      </c>
      <c r="I15" s="7">
        <v>27.5</v>
      </c>
    </row>
    <row r="16" spans="1:9" x14ac:dyDescent="0.25">
      <c r="A16" s="4"/>
      <c r="B16" s="15">
        <v>14</v>
      </c>
      <c r="C16" s="3">
        <v>0</v>
      </c>
      <c r="D16" s="3">
        <v>0</v>
      </c>
      <c r="E16" s="3">
        <v>0</v>
      </c>
      <c r="F16" s="3">
        <v>27</v>
      </c>
      <c r="G16" s="3">
        <v>0</v>
      </c>
      <c r="H16" s="3">
        <v>0</v>
      </c>
      <c r="I16" s="7">
        <v>27</v>
      </c>
    </row>
    <row r="17" spans="1:9" x14ac:dyDescent="0.25">
      <c r="A17" s="4"/>
      <c r="B17" s="2">
        <v>15</v>
      </c>
      <c r="C17" s="13">
        <v>58</v>
      </c>
      <c r="D17" s="3">
        <v>9</v>
      </c>
      <c r="E17" s="3">
        <v>0</v>
      </c>
      <c r="F17" s="3">
        <v>8</v>
      </c>
      <c r="G17" s="3">
        <v>0</v>
      </c>
      <c r="H17" s="3">
        <v>0</v>
      </c>
      <c r="I17" s="7">
        <v>75</v>
      </c>
    </row>
    <row r="18" spans="1:9" hidden="1" x14ac:dyDescent="0.25">
      <c r="A18" s="4"/>
      <c r="B18" s="2">
        <v>16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7">
        <v>0</v>
      </c>
    </row>
    <row r="19" spans="1:9" hidden="1" x14ac:dyDescent="0.25">
      <c r="A19" s="4"/>
      <c r="B19" s="2">
        <v>17</v>
      </c>
      <c r="C19" s="3">
        <v>0</v>
      </c>
      <c r="D19" s="3">
        <v>3</v>
      </c>
      <c r="E19" s="3">
        <v>0</v>
      </c>
      <c r="F19" s="3">
        <v>0</v>
      </c>
      <c r="G19" s="3">
        <v>0</v>
      </c>
      <c r="H19" s="3">
        <v>0</v>
      </c>
      <c r="I19" s="7">
        <v>3</v>
      </c>
    </row>
    <row r="20" spans="1:9" hidden="1" x14ac:dyDescent="0.25">
      <c r="A20" s="4"/>
      <c r="B20" s="2">
        <v>18</v>
      </c>
      <c r="C20" s="3">
        <v>0</v>
      </c>
      <c r="D20" s="13">
        <v>90</v>
      </c>
      <c r="E20" s="3">
        <v>0</v>
      </c>
      <c r="F20" s="3">
        <v>0</v>
      </c>
      <c r="G20" s="3">
        <v>12</v>
      </c>
      <c r="H20" s="3">
        <v>3</v>
      </c>
      <c r="I20" s="7">
        <v>105</v>
      </c>
    </row>
    <row r="21" spans="1:9" hidden="1" x14ac:dyDescent="0.25">
      <c r="A21" s="4"/>
      <c r="B21" s="2">
        <v>19</v>
      </c>
      <c r="C21" s="3">
        <v>0</v>
      </c>
      <c r="D21" s="3">
        <v>0</v>
      </c>
      <c r="E21" s="3">
        <v>0</v>
      </c>
      <c r="F21" s="3">
        <v>8</v>
      </c>
      <c r="G21" s="3">
        <v>0</v>
      </c>
      <c r="H21" s="3">
        <v>0</v>
      </c>
      <c r="I21" s="7">
        <v>8</v>
      </c>
    </row>
    <row r="22" spans="1:9" hidden="1" x14ac:dyDescent="0.25">
      <c r="A22" s="4"/>
      <c r="B22" s="2">
        <v>20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7">
        <v>0</v>
      </c>
    </row>
    <row r="23" spans="1:9" hidden="1" x14ac:dyDescent="0.25">
      <c r="A23" s="4"/>
      <c r="B23" s="2">
        <v>21</v>
      </c>
      <c r="C23" s="13">
        <v>65</v>
      </c>
      <c r="D23" s="13">
        <v>56</v>
      </c>
      <c r="E23" s="3">
        <v>0</v>
      </c>
      <c r="F23" s="3">
        <v>1</v>
      </c>
      <c r="G23" s="3">
        <v>0</v>
      </c>
      <c r="H23" s="3">
        <v>9</v>
      </c>
      <c r="I23" s="7">
        <v>131</v>
      </c>
    </row>
    <row r="24" spans="1:9" x14ac:dyDescent="0.25">
      <c r="A24" s="4"/>
      <c r="B24" s="15">
        <v>22</v>
      </c>
      <c r="C24" s="3">
        <v>0</v>
      </c>
      <c r="D24" s="13">
        <v>68</v>
      </c>
      <c r="E24" s="3">
        <v>9</v>
      </c>
      <c r="F24" s="3">
        <v>1</v>
      </c>
      <c r="G24" s="3">
        <v>0</v>
      </c>
      <c r="H24" s="3">
        <v>0</v>
      </c>
      <c r="I24" s="7">
        <v>78</v>
      </c>
    </row>
    <row r="25" spans="1:9" x14ac:dyDescent="0.25">
      <c r="A25" s="4"/>
      <c r="B25" s="15">
        <v>23</v>
      </c>
      <c r="C25" s="3">
        <v>0</v>
      </c>
      <c r="D25" s="3">
        <v>15</v>
      </c>
      <c r="E25" s="3">
        <v>0</v>
      </c>
      <c r="F25" s="3">
        <v>0</v>
      </c>
      <c r="G25" s="3">
        <v>0</v>
      </c>
      <c r="H25" s="3">
        <v>7</v>
      </c>
      <c r="I25" s="7">
        <v>22</v>
      </c>
    </row>
    <row r="26" spans="1:9" x14ac:dyDescent="0.25">
      <c r="A26" s="4"/>
      <c r="B26" s="2">
        <v>24</v>
      </c>
      <c r="C26" s="3">
        <v>0</v>
      </c>
      <c r="D26" s="3">
        <v>0</v>
      </c>
      <c r="E26" s="3">
        <v>0</v>
      </c>
      <c r="F26" s="13">
        <v>52</v>
      </c>
      <c r="G26" s="3">
        <v>4</v>
      </c>
      <c r="H26" s="3">
        <v>0</v>
      </c>
      <c r="I26" s="7">
        <v>56</v>
      </c>
    </row>
    <row r="27" spans="1:9" x14ac:dyDescent="0.25">
      <c r="A27" s="4"/>
      <c r="B27" s="15">
        <v>25</v>
      </c>
      <c r="C27" s="13">
        <v>60</v>
      </c>
      <c r="D27" s="3">
        <v>5</v>
      </c>
      <c r="E27" s="3">
        <v>0</v>
      </c>
      <c r="F27" s="3">
        <v>0</v>
      </c>
      <c r="G27" s="3">
        <v>10</v>
      </c>
      <c r="H27" s="3">
        <v>0</v>
      </c>
      <c r="I27" s="7">
        <v>75</v>
      </c>
    </row>
    <row r="28" spans="1:9" x14ac:dyDescent="0.25">
      <c r="A28" s="4"/>
      <c r="B28" s="2">
        <v>26</v>
      </c>
      <c r="C28" s="3">
        <v>0</v>
      </c>
      <c r="D28" s="3">
        <v>0</v>
      </c>
      <c r="E28" s="13">
        <v>22</v>
      </c>
      <c r="F28" s="3">
        <v>0</v>
      </c>
      <c r="G28" s="3">
        <v>8</v>
      </c>
      <c r="H28" s="3">
        <v>4</v>
      </c>
      <c r="I28" s="7">
        <v>34</v>
      </c>
    </row>
    <row r="29" spans="1:9" hidden="1" x14ac:dyDescent="0.25">
      <c r="A29" s="4"/>
      <c r="B29" s="2">
        <v>27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7">
        <v>0</v>
      </c>
    </row>
    <row r="30" spans="1:9" hidden="1" x14ac:dyDescent="0.25">
      <c r="A30" s="4"/>
      <c r="B30" s="2">
        <v>28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7">
        <v>0</v>
      </c>
    </row>
    <row r="31" spans="1:9" hidden="1" x14ac:dyDescent="0.25">
      <c r="A31" s="4"/>
      <c r="B31" s="2">
        <v>29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7">
        <v>0</v>
      </c>
    </row>
    <row r="32" spans="1:9" x14ac:dyDescent="0.25">
      <c r="A32" s="4"/>
      <c r="B32" s="2">
        <v>30</v>
      </c>
      <c r="C32" s="3">
        <v>5</v>
      </c>
      <c r="D32" s="3">
        <v>17</v>
      </c>
      <c r="E32" s="3">
        <v>13</v>
      </c>
      <c r="F32" s="3">
        <v>3</v>
      </c>
      <c r="G32" s="3">
        <v>0</v>
      </c>
      <c r="H32" s="13">
        <v>20</v>
      </c>
      <c r="I32" s="7">
        <v>58</v>
      </c>
    </row>
    <row r="33" spans="1:9" hidden="1" x14ac:dyDescent="0.25">
      <c r="A33" s="4"/>
      <c r="B33" s="2">
        <v>31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7">
        <v>0</v>
      </c>
    </row>
    <row r="34" spans="1:9" x14ac:dyDescent="0.25">
      <c r="A34" s="4"/>
      <c r="B34" s="15">
        <v>32</v>
      </c>
      <c r="C34" s="13">
        <v>34</v>
      </c>
      <c r="D34" s="3">
        <v>9</v>
      </c>
      <c r="E34" s="3">
        <v>0</v>
      </c>
      <c r="F34" s="3">
        <v>0</v>
      </c>
      <c r="G34" s="3">
        <v>0</v>
      </c>
      <c r="H34" s="3">
        <v>0</v>
      </c>
      <c r="I34" s="7">
        <v>43</v>
      </c>
    </row>
    <row r="35" spans="1:9" hidden="1" x14ac:dyDescent="0.25">
      <c r="A35" s="4"/>
      <c r="B35" s="2">
        <v>33</v>
      </c>
      <c r="C35" s="3">
        <v>13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7">
        <v>13</v>
      </c>
    </row>
    <row r="36" spans="1:9" hidden="1" x14ac:dyDescent="0.25">
      <c r="A36" s="4"/>
      <c r="B36" s="2">
        <v>34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7">
        <v>0</v>
      </c>
    </row>
    <row r="37" spans="1:9" hidden="1" x14ac:dyDescent="0.25">
      <c r="A37" s="4"/>
      <c r="B37" s="2">
        <v>35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3</v>
      </c>
      <c r="I37" s="7">
        <v>3</v>
      </c>
    </row>
    <row r="38" spans="1:9" hidden="1" x14ac:dyDescent="0.25">
      <c r="A38" s="4"/>
      <c r="B38" s="2">
        <v>36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7">
        <v>0</v>
      </c>
    </row>
    <row r="39" spans="1:9" x14ac:dyDescent="0.25">
      <c r="A39" s="4"/>
      <c r="B39" s="2">
        <v>37</v>
      </c>
      <c r="C39" s="3">
        <v>0</v>
      </c>
      <c r="D39" s="13">
        <v>58</v>
      </c>
      <c r="E39" s="3">
        <v>2</v>
      </c>
      <c r="F39" s="3">
        <v>0</v>
      </c>
      <c r="G39" s="3">
        <v>0</v>
      </c>
      <c r="H39" s="3">
        <v>0</v>
      </c>
      <c r="I39" s="7">
        <v>60</v>
      </c>
    </row>
    <row r="40" spans="1:9" x14ac:dyDescent="0.25">
      <c r="A40" s="4"/>
      <c r="B40" s="15">
        <v>38</v>
      </c>
      <c r="C40" s="3">
        <v>0</v>
      </c>
      <c r="D40" s="3">
        <v>0</v>
      </c>
      <c r="E40" s="3">
        <v>27</v>
      </c>
      <c r="F40" s="3">
        <v>0</v>
      </c>
      <c r="G40" s="3">
        <v>0</v>
      </c>
      <c r="H40" s="3">
        <v>0</v>
      </c>
      <c r="I40" s="7">
        <v>27</v>
      </c>
    </row>
    <row r="41" spans="1:9" hidden="1" x14ac:dyDescent="0.25">
      <c r="A41" s="4"/>
      <c r="B41" s="2">
        <v>39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7">
        <v>0</v>
      </c>
    </row>
    <row r="42" spans="1:9" hidden="1" x14ac:dyDescent="0.25">
      <c r="A42" s="4"/>
      <c r="B42" s="2">
        <v>40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7">
        <v>0</v>
      </c>
    </row>
    <row r="43" spans="1:9" hidden="1" x14ac:dyDescent="0.25">
      <c r="A43" s="4"/>
      <c r="B43" s="2">
        <v>41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7">
        <v>0</v>
      </c>
    </row>
    <row r="44" spans="1:9" hidden="1" x14ac:dyDescent="0.25">
      <c r="A44" s="4"/>
      <c r="B44" s="2">
        <v>42</v>
      </c>
      <c r="C44" s="13">
        <v>89</v>
      </c>
      <c r="D44" s="13">
        <v>86</v>
      </c>
      <c r="E44" s="13">
        <v>92</v>
      </c>
      <c r="F44" s="13">
        <v>27</v>
      </c>
      <c r="G44" s="13">
        <v>49</v>
      </c>
      <c r="H44" s="13">
        <v>46</v>
      </c>
      <c r="I44" s="7">
        <v>389</v>
      </c>
    </row>
    <row r="45" spans="1:9" hidden="1" x14ac:dyDescent="0.25">
      <c r="A45" s="4"/>
      <c r="B45" s="2">
        <v>43</v>
      </c>
      <c r="C45" s="13">
        <v>137</v>
      </c>
      <c r="D45" s="13">
        <v>47</v>
      </c>
      <c r="E45" s="3">
        <v>16</v>
      </c>
      <c r="F45" s="13">
        <v>27</v>
      </c>
      <c r="G45" s="13">
        <v>20</v>
      </c>
      <c r="H45" s="3">
        <v>0</v>
      </c>
      <c r="I45" s="7">
        <v>247</v>
      </c>
    </row>
    <row r="46" spans="1:9" hidden="1" x14ac:dyDescent="0.25">
      <c r="A46" s="4"/>
      <c r="B46" s="2">
        <v>44</v>
      </c>
      <c r="C46" s="3">
        <v>3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7">
        <v>3</v>
      </c>
    </row>
    <row r="47" spans="1:9" x14ac:dyDescent="0.25">
      <c r="A47" s="4"/>
      <c r="B47" s="2">
        <v>45</v>
      </c>
      <c r="C47" s="3">
        <v>0</v>
      </c>
      <c r="D47" s="3">
        <v>0</v>
      </c>
      <c r="E47" s="3">
        <v>0</v>
      </c>
      <c r="F47" s="3">
        <v>12</v>
      </c>
      <c r="G47" s="3">
        <v>19</v>
      </c>
      <c r="H47" s="3">
        <v>0</v>
      </c>
      <c r="I47" s="7">
        <v>31</v>
      </c>
    </row>
    <row r="48" spans="1:9" x14ac:dyDescent="0.25">
      <c r="A48" s="4"/>
      <c r="B48" s="15">
        <v>46</v>
      </c>
      <c r="C48" s="13">
        <v>35</v>
      </c>
      <c r="D48" s="3">
        <v>1</v>
      </c>
      <c r="E48" s="3">
        <v>0</v>
      </c>
      <c r="F48" s="3">
        <v>0</v>
      </c>
      <c r="G48" s="3">
        <v>0</v>
      </c>
      <c r="H48" s="3">
        <v>0</v>
      </c>
      <c r="I48" s="7">
        <v>36</v>
      </c>
    </row>
    <row r="49" spans="1:9" hidden="1" x14ac:dyDescent="0.25">
      <c r="A49" s="4"/>
      <c r="B49" s="2">
        <v>47</v>
      </c>
      <c r="C49" s="3">
        <v>0</v>
      </c>
      <c r="D49" s="13">
        <v>112</v>
      </c>
      <c r="E49" s="3">
        <v>0</v>
      </c>
      <c r="F49" s="3">
        <v>0</v>
      </c>
      <c r="G49" s="3">
        <v>0</v>
      </c>
      <c r="H49" s="3">
        <v>0</v>
      </c>
      <c r="I49" s="7">
        <v>112</v>
      </c>
    </row>
    <row r="50" spans="1:9" hidden="1" x14ac:dyDescent="0.25">
      <c r="A50" s="4"/>
      <c r="B50" s="2">
        <v>48</v>
      </c>
      <c r="C50" s="3">
        <v>0</v>
      </c>
      <c r="D50" s="3">
        <v>0</v>
      </c>
      <c r="E50" s="13">
        <v>38</v>
      </c>
      <c r="F50" s="13">
        <v>107</v>
      </c>
      <c r="G50" s="13">
        <v>197</v>
      </c>
      <c r="H50" s="13">
        <v>188</v>
      </c>
      <c r="I50" s="7">
        <v>530</v>
      </c>
    </row>
    <row r="51" spans="1:9" hidden="1" x14ac:dyDescent="0.25">
      <c r="A51" s="4"/>
      <c r="B51" s="2">
        <v>49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7">
        <v>0</v>
      </c>
    </row>
    <row r="52" spans="1:9" x14ac:dyDescent="0.25">
      <c r="A52" s="4"/>
      <c r="B52" s="15">
        <v>50</v>
      </c>
      <c r="C52" s="3">
        <v>12</v>
      </c>
      <c r="D52" s="3">
        <v>0</v>
      </c>
      <c r="E52" s="3">
        <v>0</v>
      </c>
      <c r="F52" s="3">
        <v>0</v>
      </c>
      <c r="G52" s="3">
        <v>0</v>
      </c>
      <c r="H52" s="3">
        <v>3</v>
      </c>
      <c r="I52" s="7">
        <v>15</v>
      </c>
    </row>
    <row r="53" spans="1:9" x14ac:dyDescent="0.25">
      <c r="A53" s="4"/>
      <c r="B53" s="15">
        <v>51</v>
      </c>
      <c r="C53" s="3">
        <v>0</v>
      </c>
      <c r="D53" s="3">
        <v>0</v>
      </c>
      <c r="E53" s="3">
        <v>0</v>
      </c>
      <c r="F53" s="3">
        <v>20</v>
      </c>
      <c r="G53" s="3"/>
      <c r="H53" s="3"/>
      <c r="I53" s="7">
        <v>20</v>
      </c>
    </row>
    <row r="54" spans="1:9" hidden="1" x14ac:dyDescent="0.25">
      <c r="A54" s="4"/>
      <c r="B54" s="2">
        <v>52</v>
      </c>
      <c r="C54" s="3"/>
      <c r="D54" s="3"/>
      <c r="E54" s="3"/>
      <c r="F54" s="3"/>
      <c r="G54" s="3"/>
      <c r="H54" s="3"/>
      <c r="I54" s="7">
        <v>0</v>
      </c>
    </row>
    <row r="55" spans="1:9" hidden="1" x14ac:dyDescent="0.25">
      <c r="C55" s="14">
        <v>9</v>
      </c>
      <c r="D55" s="14">
        <v>8</v>
      </c>
      <c r="E55" s="14">
        <v>4</v>
      </c>
      <c r="F55" s="14">
        <v>6</v>
      </c>
      <c r="G55" s="14">
        <v>4</v>
      </c>
      <c r="H55" s="14">
        <v>4</v>
      </c>
    </row>
  </sheetData>
  <autoFilter ref="A2:I55">
    <filterColumn colId="8">
      <filters>
        <filter val="15"/>
        <filter val="20"/>
        <filter val="22"/>
        <filter val="27"/>
        <filter val="27.5"/>
        <filter val="31"/>
        <filter val="34"/>
        <filter val="36"/>
        <filter val="36.5"/>
        <filter val="43"/>
        <filter val="54"/>
        <filter val="56"/>
        <filter val="58"/>
        <filter val="60"/>
        <filter val="72"/>
        <filter val="74"/>
        <filter val="75"/>
        <filter val="78"/>
        <filter val="90.5"/>
      </filters>
    </filterColumn>
  </autoFilter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RAINFALL</vt:lpstr>
      <vt:lpstr>MINIMUM TEM</vt:lpstr>
      <vt:lpstr>MAXIMUM TEM</vt:lpstr>
      <vt:lpstr>Summary</vt:lpstr>
      <vt:lpstr>Summary Rain fall</vt:lpstr>
      <vt:lpstr>Summary Min tem</vt:lpstr>
      <vt:lpstr>Summary Max tem</vt:lpstr>
      <vt:lpstr>Summary Min &amp; Max Def </vt:lpstr>
      <vt:lpstr>RAINFALL (4)</vt:lpstr>
      <vt:lpstr>RAINFALL (5)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2025-12-19T04:06:33Z</dcterms:created>
  <dcterms:modified xsi:type="dcterms:W3CDTF">2026-10-13T09:04:41Z</dcterms:modified>
</cp:coreProperties>
</file>